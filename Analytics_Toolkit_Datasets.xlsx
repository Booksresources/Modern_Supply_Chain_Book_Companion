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h2_LandedCost" sheetId="2" state="visible" r:id="rId4"/>
    <sheet name="Ch3_CentreOfGravity" sheetId="3" state="visible" r:id="rId5"/>
    <sheet name="Ch3_FacilityLocation" sheetId="4" state="visible" r:id="rId6"/>
    <sheet name="Ch4_Bullwhip" sheetId="5" state="visible" r:id="rId7"/>
    <sheet name="Ch5_Forecasting" sheetId="6" state="visible" r:id="rId8"/>
    <sheet name="Ch5_HoltWinters_Regression" sheetId="7" state="visible" r:id="rId9"/>
    <sheet name="Ch7_Inventory" sheetId="8" state="visible" r:id="rId10"/>
    <sheet name="Ch8_Dashboard" sheetId="9" state="visible" r:id="rId11"/>
    <sheet name="Ch9_ProductMix" sheetId="10" state="visible" r:id="rId12"/>
    <sheet name="Ch9_Transportation" sheetId="11" state="visible" r:id="rId13"/>
    <sheet name="Ch18_Investment" sheetId="12" state="visible" r:id="rId14"/>
    <sheet name="Ch19_RiskRegister" sheetId="13" state="visible" r:id="rId15"/>
    <sheet name="Ch22_CashToCash" sheetId="14" state="visible" r:id="rId16"/>
    <sheet name="Ch22_CostToServe" sheetId="15" state="visible" r:id="rId1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<sst xmlns="http://schemas.openxmlformats.org/spreadsheetml/2006/main" count="344" uniqueCount="316">
  <si>
    <t xml:space="preserve">Analytics Toolkit Datasets</t>
  </si>
  <si>
    <t xml:space="preserve">A Textbook of Modern Supply Chain Management: Strategy, Analytics and AI-Driven Operations</t>
  </si>
  <si>
    <t xml:space="preserve">Legend</t>
  </si>
  <si>
    <t xml:space="preserve">Blue text on yellow fill = input you can change. Black text = formula. All calculations update automatically.</t>
  </si>
  <si>
    <t xml:space="preserve">Ch2_LandedCost</t>
  </si>
  <si>
    <t xml:space="preserve">Table 2.6: total landed cost comparison (Analytics Toolkit, Chapter 2).</t>
  </si>
  <si>
    <t xml:space="preserve">Ch3_CentreOfGravity</t>
  </si>
  <si>
    <t xml:space="preserve">Worked Example 3.1: centre-of-gravity calculation.</t>
  </si>
  <si>
    <t xml:space="preserve">Ch3_FacilityLocation</t>
  </si>
  <si>
    <t xml:space="preserve">Analytics Toolkit, Chapter 3: capacitated facility location model ready for Excel Solver (optimal solution entered).</t>
  </si>
  <si>
    <t xml:space="preserve">Ch4_Bullwhip</t>
  </si>
  <si>
    <t xml:space="preserve">Analytics Toolkit, Chapter 4: four-stage bullwhip simulation with moving-average forecasts and order-up-to policy.</t>
  </si>
  <si>
    <t xml:space="preserve">Ch5_Forecasting</t>
  </si>
  <si>
    <t xml:space="preserve">Table 5.1: moving average, exponential smoothing and Holt forecasts with accuracy measures.</t>
  </si>
  <si>
    <t xml:space="preserve">Ch5_HoltWinters_Regression</t>
  </si>
  <si>
    <t xml:space="preserve">Worked Examples 5.1 and 5.2: quarterly demand and sales/advertising data.</t>
  </si>
  <si>
    <t xml:space="preserve">Ch7_Inventory</t>
  </si>
  <si>
    <t xml:space="preserve">EOQ, quantity discounts, safety stock table and ABC analysis (Chapter 7).</t>
  </si>
  <si>
    <t xml:space="preserve">Ch8_Dashboard</t>
  </si>
  <si>
    <t xml:space="preserve">Analytics Toolkit, Chapter 8: KPI calculations and weekly dashboard data.</t>
  </si>
  <si>
    <t xml:space="preserve">Ch9_ProductMix</t>
  </si>
  <si>
    <t xml:space="preserve">Worked Example 9.1: product-mix LP ready for Solver.</t>
  </si>
  <si>
    <t xml:space="preserve">Ch9_Transportation</t>
  </si>
  <si>
    <t xml:space="preserve">Analytics Toolkit, Chapter 9: transportation problem ready for Solver (optimal solution entered).</t>
  </si>
  <si>
    <t xml:space="preserve">Ch18_Investment</t>
  </si>
  <si>
    <t xml:space="preserve">Worked Example 18.4: NPV and IRR scenarios for an AMR investment.</t>
  </si>
  <si>
    <t xml:space="preserve">Ch19_RiskRegister</t>
  </si>
  <si>
    <t xml:space="preserve">Worked Example 19.1: risk register and FMEA.</t>
  </si>
  <si>
    <t xml:space="preserve">Ch22_CashToCash</t>
  </si>
  <si>
    <t xml:space="preserve">Analytics Toolkit, Chapter 22: cash-to-cash cycle and working capital released.</t>
  </si>
  <si>
    <t xml:space="preserve">Ch22_CostToServe</t>
  </si>
  <si>
    <t xml:space="preserve">Worked Example 22.2: cost-to-serve analysis.</t>
  </si>
  <si>
    <t xml:space="preserve">CSV files</t>
  </si>
  <si>
    <t xml:space="preserve">Larger datasets for Python exercises: delivery times (Ch16), daily sales for ML forecasting (Ch5), SKU clustering (Ch16), bullwhip demand (Ch4), Monte Carlo lead-time demand inputs (Ch9).</t>
  </si>
  <si>
    <t xml:space="preserve">Python files</t>
  </si>
  <si>
    <t xml:space="preserve">Scripts reproducing the Analytics Toolkits and worked examples. Requires numpy, pandas, scipy, scikit-learn.</t>
  </si>
  <si>
    <t xml:space="preserve">Total landed cost comparison (USD per unit)</t>
  </si>
  <si>
    <t xml:space="preserve">Table 2.6. Change inputs to test scenarios.</t>
  </si>
  <si>
    <t xml:space="preserve">Cost element</t>
  </si>
  <si>
    <t xml:space="preserve">Offshore (East Asia)</t>
  </si>
  <si>
    <t xml:space="preserve">Nearshore</t>
  </si>
  <si>
    <t xml:space="preserve">Domestic</t>
  </si>
  <si>
    <t xml:space="preserve">Purchase price</t>
  </si>
  <si>
    <t xml:space="preserve">Freight and insurance</t>
  </si>
  <si>
    <t xml:space="preserve">Customs duty</t>
  </si>
  <si>
    <t xml:space="preserve">Inventory carrying cost</t>
  </si>
  <si>
    <t xml:space="preserve">Quality, expediting, risk allowance</t>
  </si>
  <si>
    <t xml:space="preserve">Total landed cost</t>
  </si>
  <si>
    <t xml:space="preserve">Duty rate</t>
  </si>
  <si>
    <t xml:space="preserve">Lowest-cost option</t>
  </si>
  <si>
    <t xml:space="preserve">Centre-of-gravity location</t>
  </si>
  <si>
    <t xml:space="preserve">Worked Example 3.1 (map grid coordinates, annual pallets).</t>
  </si>
  <si>
    <t xml:space="preserve">City</t>
  </si>
  <si>
    <t xml:space="preserve">x</t>
  </si>
  <si>
    <t xml:space="preserve">y</t>
  </si>
  <si>
    <t xml:space="preserve">Volume V</t>
  </si>
  <si>
    <t xml:space="preserve">x × V</t>
  </si>
  <si>
    <t xml:space="preserve">y × V</t>
  </si>
  <si>
    <t xml:space="preserve">Muscat</t>
  </si>
  <si>
    <t xml:space="preserve">Dubai</t>
  </si>
  <si>
    <t xml:space="preserve">Abu Dhabi</t>
  </si>
  <si>
    <t xml:space="preserve">Doha</t>
  </si>
  <si>
    <t xml:space="preserve">Sohar</t>
  </si>
  <si>
    <t xml:space="preserve">Salalah</t>
  </si>
  <si>
    <t xml:space="preserve">Total</t>
  </si>
  <si>
    <t xml:space="preserve">x* (centre of gravity)</t>
  </si>
  <si>
    <t xml:space="preserve">y* (centre of gravity)</t>
  </si>
  <si>
    <t xml:space="preserve">Capacitated facility location model (for Excel Solver)</t>
  </si>
  <si>
    <t xml:space="preserve">Solver: minimise B22; variables B14:F16 and H14:H16; constraints B17:F17 = B11:F11, G14:G16 &lt;= I14:I16, H14:H16 binary; Simplex LP. Optimal solution entered.</t>
  </si>
  <si>
    <t xml:space="preserve">Unit cost (USD)</t>
  </si>
  <si>
    <t xml:space="preserve">UAE</t>
  </si>
  <si>
    <t xml:space="preserve">Oman</t>
  </si>
  <si>
    <t xml:space="preserve">Saudi East</t>
  </si>
  <si>
    <t xml:space="preserve">Qatar</t>
  </si>
  <si>
    <t xml:space="preserve">Kuwait</t>
  </si>
  <si>
    <t xml:space="preserve">Fixed cost</t>
  </si>
  <si>
    <t xml:space="preserve">Capacity</t>
  </si>
  <si>
    <t xml:space="preserve">A: Jebel Ali</t>
  </si>
  <si>
    <t xml:space="preserve">B: Sohar</t>
  </si>
  <si>
    <t xml:space="preserve">C: Dammam</t>
  </si>
  <si>
    <t xml:space="preserve">Demand</t>
  </si>
  <si>
    <t xml:space="preserve">Shipments</t>
  </si>
  <si>
    <t xml:space="preserve">Total shipped</t>
  </si>
  <si>
    <t xml:space="preserve">Open (1/0)</t>
  </si>
  <si>
    <t xml:space="preserve">Available capacity</t>
  </si>
  <si>
    <t xml:space="preserve">Total received</t>
  </si>
  <si>
    <t xml:space="preserve">Transport cost</t>
  </si>
  <si>
    <t xml:space="preserve">Total cost (objective)</t>
  </si>
  <si>
    <t xml:space="preserve">Bullwhip simulation: four stages, 6-week moving average, lead time 2 weeks</t>
  </si>
  <si>
    <t xml:space="preserve">Each stage: forecast = average of last 6 weeks of demand received; S = L × forecast; order = S(t) − S(t−1) + demand(t−1). Orders of one stage are the demand of the next. Statistics below use all available weeks for each stage, so they differ slightly from Table 4.5, which uses only the 43 weeks for which every stage has orders.</t>
  </si>
  <si>
    <t xml:space="preserve">Lead time L (weeks)</t>
  </si>
  <si>
    <t xml:space="preserve">Statistic</t>
  </si>
  <si>
    <t xml:space="preserve">Customer demand</t>
  </si>
  <si>
    <t xml:space="preserve">Retailer orders</t>
  </si>
  <si>
    <t xml:space="preserve">Wholesaler orders</t>
  </si>
  <si>
    <t xml:space="preserve">Distributor orders</t>
  </si>
  <si>
    <t xml:space="preserve">Factory orders</t>
  </si>
  <si>
    <t xml:space="preserve">Standard deviation</t>
  </si>
  <si>
    <t xml:space="preserve">Variance ratio vs customer</t>
  </si>
  <si>
    <t xml:space="preserve">Week</t>
  </si>
  <si>
    <t xml:space="preserve">Retailer forecast</t>
  </si>
  <si>
    <t xml:space="preserve">Retailer S</t>
  </si>
  <si>
    <t xml:space="preserve">Retailer order</t>
  </si>
  <si>
    <t xml:space="preserve">Wholesaler forecast</t>
  </si>
  <si>
    <t xml:space="preserve">Wholesaler S</t>
  </si>
  <si>
    <t xml:space="preserve">Wholesaler order</t>
  </si>
  <si>
    <t xml:space="preserve">Distributor forecast</t>
  </si>
  <si>
    <t xml:space="preserve">Distributor S</t>
  </si>
  <si>
    <t xml:space="preserve">Distributor order</t>
  </si>
  <si>
    <t xml:space="preserve">Factory forecast</t>
  </si>
  <si>
    <t xml:space="preserve">Factory S</t>
  </si>
  <si>
    <t xml:space="preserve">Factory order</t>
  </si>
  <si>
    <t xml:space="preserve">Moving average, exponential smoothing and Holt forecasts</t>
  </si>
  <si>
    <t xml:space="preserve">Table 5.1. Change alpha and beta to test accuracy; use Solver to minimise MAPE.</t>
  </si>
  <si>
    <t xml:space="preserve">Alpha (SES and Holt)</t>
  </si>
  <si>
    <t xml:space="preserve">Beta (Holt)</t>
  </si>
  <si>
    <t xml:space="preserve">Holt initial level</t>
  </si>
  <si>
    <t xml:space="preserve">Holt initial trend</t>
  </si>
  <si>
    <t xml:space="preserve">Month</t>
  </si>
  <si>
    <t xml:space="preserve">3-mo MA</t>
  </si>
  <si>
    <t xml:space="preserve">SES</t>
  </si>
  <si>
    <t xml:space="preserve">Holt level</t>
  </si>
  <si>
    <t xml:space="preserve">Holt trend</t>
  </si>
  <si>
    <t xml:space="preserve">Holt forecast</t>
  </si>
  <si>
    <t xml:space="preserve">|Error| MA</t>
  </si>
  <si>
    <t xml:space="preserve">|Error| SES</t>
  </si>
  <si>
    <t xml:space="preserve">|Error| Holt</t>
  </si>
  <si>
    <t xml:space="preserve">APE SES</t>
  </si>
  <si>
    <t xml:space="preserve">APE Holt</t>
  </si>
  <si>
    <t xml:space="preserve">MAD</t>
  </si>
  <si>
    <t xml:space="preserve">MAPE</t>
  </si>
  <si>
    <t xml:space="preserve">Forecast for month 13 (row 19)</t>
  </si>
  <si>
    <t xml:space="preserve">Quarterly demand (Worked Example 5.1) and sales/advertising data (Worked Example 5.2)</t>
  </si>
  <si>
    <t xml:space="preserve">Use FORECAST.ETS or the Holt-Winters equations; use SLOPE, INTERCEPT and RSQ for regression.</t>
  </si>
  <si>
    <t xml:space="preserve">Year</t>
  </si>
  <si>
    <t xml:space="preserve">Quarter</t>
  </si>
  <si>
    <t xml:space="preserve">Demand (000 units)</t>
  </si>
  <si>
    <t xml:space="preserve">Advertising (USD 000)</t>
  </si>
  <si>
    <t xml:space="preserve">Sales (000 units)</t>
  </si>
  <si>
    <t xml:space="preserve">Slope</t>
  </si>
  <si>
    <t xml:space="preserve">Intercept</t>
  </si>
  <si>
    <t xml:space="preserve">R²</t>
  </si>
  <si>
    <t xml:space="preserve">Forecast at advertising</t>
  </si>
  <si>
    <t xml:space="preserve">EOQ, quantity discounts, safety stock and ABC analysis</t>
  </si>
  <si>
    <t xml:space="preserve">Worked Examples 7.1, 7.2, 7.4 and 7.5 and the Chapter 7 Analytics Toolkit.</t>
  </si>
  <si>
    <t xml:space="preserve">Annual demand D</t>
  </si>
  <si>
    <t xml:space="preserve">Ordering cost S (USD)</t>
  </si>
  <si>
    <t xml:space="preserve">Holding rate</t>
  </si>
  <si>
    <t xml:space="preserve">Holding cost H</t>
  </si>
  <si>
    <t xml:space="preserve">EOQ</t>
  </si>
  <si>
    <t xml:space="preserve">Annual ordering + holding cost</t>
  </si>
  <si>
    <t xml:space="preserve">Price break</t>
  </si>
  <si>
    <t xml:space="preserve">Unit price</t>
  </si>
  <si>
    <t xml:space="preserve">Minimum qty</t>
  </si>
  <si>
    <t xml:space="preserve">EOQ at price</t>
  </si>
  <si>
    <t xml:space="preserve">Order qty</t>
  </si>
  <si>
    <t xml:space="preserve">Total annual cost</t>
  </si>
  <si>
    <t xml:space="preserve">Break 1</t>
  </si>
  <si>
    <t xml:space="preserve">Break 2</t>
  </si>
  <si>
    <t xml:space="preserve">Break 3</t>
  </si>
  <si>
    <t xml:space="preserve">Note: break 1 is valid only below 1,500 units; its EOQ (1,732) is outside its range.</t>
  </si>
  <si>
    <t xml:space="preserve">Mean daily demand</t>
  </si>
  <si>
    <t xml:space="preserve">SD daily demand</t>
  </si>
  <si>
    <t xml:space="preserve">Mean lead time (days)</t>
  </si>
  <si>
    <t xml:space="preserve">SD lead time (days)</t>
  </si>
  <si>
    <t xml:space="preserve">Service level</t>
  </si>
  <si>
    <t xml:space="preserve">z</t>
  </si>
  <si>
    <t xml:space="preserve">SS demand only</t>
  </si>
  <si>
    <t xml:space="preserve">SS demand + LT</t>
  </si>
  <si>
    <t xml:space="preserve">ROP demand only</t>
  </si>
  <si>
    <t xml:space="preserve">ROP demand + LT</t>
  </si>
  <si>
    <t xml:space="preserve">Item</t>
  </si>
  <si>
    <t xml:space="preserve">Annual units</t>
  </si>
  <si>
    <t xml:space="preserve">Unit cost</t>
  </si>
  <si>
    <t xml:space="preserve">Annual value</t>
  </si>
  <si>
    <t xml:space="preserve">% of value</t>
  </si>
  <si>
    <t xml:space="preserve">Rank</t>
  </si>
  <si>
    <t xml:space="preserve">A101</t>
  </si>
  <si>
    <t xml:space="preserve">A102</t>
  </si>
  <si>
    <t xml:space="preserve">A103</t>
  </si>
  <si>
    <t xml:space="preserve">A104</t>
  </si>
  <si>
    <t xml:space="preserve">A105</t>
  </si>
  <si>
    <t xml:space="preserve">A106</t>
  </si>
  <si>
    <t xml:space="preserve">A107</t>
  </si>
  <si>
    <t xml:space="preserve">A108</t>
  </si>
  <si>
    <t xml:space="preserve">A109</t>
  </si>
  <si>
    <t xml:space="preserve">A110</t>
  </si>
  <si>
    <t xml:space="preserve">KPI calculations and weekly dashboard data</t>
  </si>
  <si>
    <t xml:space="preserve">Analytics Toolkit, Chapter 8.</t>
  </si>
  <si>
    <t xml:space="preserve">Orders delivered</t>
  </si>
  <si>
    <t xml:space="preserve">Orders on time and in full</t>
  </si>
  <si>
    <t xml:space="preserve">Units ordered</t>
  </si>
  <si>
    <t xml:space="preserve">Units shipped from stock</t>
  </si>
  <si>
    <t xml:space="preserve">Annual COGS (USD million)</t>
  </si>
  <si>
    <t xml:space="preserve">Average inventory (USD million)</t>
  </si>
  <si>
    <t xml:space="preserve">Weekly WMAPE</t>
  </si>
  <si>
    <t xml:space="preserve">OTIF</t>
  </si>
  <si>
    <t xml:space="preserve">Fill rate</t>
  </si>
  <si>
    <t xml:space="preserve">Inventory turns</t>
  </si>
  <si>
    <t xml:space="preserve">Days of supply</t>
  </si>
  <si>
    <t xml:space="preserve">Forecast accuracy</t>
  </si>
  <si>
    <t xml:space="preserve">OTIF %</t>
  </si>
  <si>
    <t xml:space="preserve">DC</t>
  </si>
  <si>
    <t xml:space="preserve">Late orders</t>
  </si>
  <si>
    <t xml:space="preserve">DC North</t>
  </si>
  <si>
    <t xml:space="preserve">DC South</t>
  </si>
  <si>
    <t xml:space="preserve">DC East</t>
  </si>
  <si>
    <t xml:space="preserve">DC West</t>
  </si>
  <si>
    <t xml:space="preserve">Product-mix linear programme (for Excel Solver)</t>
  </si>
  <si>
    <t xml:space="preserve">Solver: maximise D5; variables B4:C4; constraints D8:D10 &lt;= E8:E10; non-negative; Simplex LP. Optimal solution entered.</t>
  </si>
  <si>
    <t xml:space="preserve">Product A (x)</t>
  </si>
  <si>
    <t xml:space="preserve">Product B (y)</t>
  </si>
  <si>
    <t xml:space="preserve">Units per day</t>
  </si>
  <si>
    <t xml:space="preserve">Contribution per unit</t>
  </si>
  <si>
    <t xml:space="preserve">Constraint</t>
  </si>
  <si>
    <t xml:space="preserve">A</t>
  </si>
  <si>
    <t xml:space="preserve">B</t>
  </si>
  <si>
    <t xml:space="preserve">Used</t>
  </si>
  <si>
    <t xml:space="preserve">Available</t>
  </si>
  <si>
    <t xml:space="preserve">Machine hours</t>
  </si>
  <si>
    <t xml:space="preserve">Labour hours</t>
  </si>
  <si>
    <t xml:space="preserve">Demand for A</t>
  </si>
  <si>
    <t xml:space="preserve">Transportation problem (for Excel Solver)</t>
  </si>
  <si>
    <t xml:space="preserve">Solver: minimise B15; variables B10:E12; constraints F10:F12 &lt;= F4:F6 and B13:E13 = B7:E7; Simplex LP. Optimal solution entered.</t>
  </si>
  <si>
    <t xml:space="preserve">Cost per pallet</t>
  </si>
  <si>
    <t xml:space="preserve">DC A</t>
  </si>
  <si>
    <t xml:space="preserve">DC B</t>
  </si>
  <si>
    <t xml:space="preserve">DC C</t>
  </si>
  <si>
    <t xml:space="preserve">DC D</t>
  </si>
  <si>
    <t xml:space="preserve">Supply</t>
  </si>
  <si>
    <t xml:space="preserve">Plant 1</t>
  </si>
  <si>
    <t xml:space="preserve">Plant 2</t>
  </si>
  <si>
    <t xml:space="preserve">Plant 3</t>
  </si>
  <si>
    <t xml:space="preserve">NPV and IRR scenarios for an AMR investment</t>
  </si>
  <si>
    <t xml:space="preserve">Worked Example 18.4.</t>
  </si>
  <si>
    <t xml:space="preserve">Investment (USD million)</t>
  </si>
  <si>
    <t xml:space="preserve">Discount rate</t>
  </si>
  <si>
    <t xml:space="preserve">Scenario</t>
  </si>
  <si>
    <t xml:space="preserve">Annual savings</t>
  </si>
  <si>
    <t xml:space="preserve">Year 1</t>
  </si>
  <si>
    <t xml:space="preserve">Year 2</t>
  </si>
  <si>
    <t xml:space="preserve">Year 3</t>
  </si>
  <si>
    <t xml:space="preserve">Year 4</t>
  </si>
  <si>
    <t xml:space="preserve">Year 5</t>
  </si>
  <si>
    <t xml:space="preserve">Year 6</t>
  </si>
  <si>
    <t xml:space="preserve">Year 7</t>
  </si>
  <si>
    <t xml:space="preserve">NPV</t>
  </si>
  <si>
    <t xml:space="preserve">IRR</t>
  </si>
  <si>
    <t xml:space="preserve">Cash flows for IRR (year 0–7) →</t>
  </si>
  <si>
    <t xml:space="preserve">Pessimistic</t>
  </si>
  <si>
    <t xml:space="preserve">Base</t>
  </si>
  <si>
    <t xml:space="preserve">Optimistic</t>
  </si>
  <si>
    <t xml:space="preserve">Risk register and FMEA</t>
  </si>
  <si>
    <t xml:space="preserve">Worked Example 19.1 and Table 19.2.</t>
  </si>
  <si>
    <t xml:space="preserve">Risk</t>
  </si>
  <si>
    <t xml:space="preserve">Likelihood</t>
  </si>
  <si>
    <t xml:space="preserve">Impact</t>
  </si>
  <si>
    <t xml:space="preserve">Score</t>
  </si>
  <si>
    <t xml:space="preserve">R1 Single-source chip supplier failure</t>
  </si>
  <si>
    <t xml:space="preserve">R2 Port congestion / chokepoint closure</t>
  </si>
  <si>
    <t xml:space="preserve">R3 Cyberattack on ERP</t>
  </si>
  <si>
    <t xml:space="preserve">R4 Demand shock (promotion error)</t>
  </si>
  <si>
    <t xml:space="preserve">R5 Key carrier capacity shortage</t>
  </si>
  <si>
    <t xml:space="preserve">R6 Currency volatility</t>
  </si>
  <si>
    <t xml:space="preserve">R7 Supplier labour violation</t>
  </si>
  <si>
    <t xml:space="preserve">R8 Heatwave affecting warehouse</t>
  </si>
  <si>
    <t xml:space="preserve">Failure mode</t>
  </si>
  <si>
    <t xml:space="preserve">Severity</t>
  </si>
  <si>
    <t xml:space="preserve">Occurrence</t>
  </si>
  <si>
    <t xml:space="preserve">Detection</t>
  </si>
  <si>
    <t xml:space="preserve">RPN</t>
  </si>
  <si>
    <t xml:space="preserve">Supplier quality escape</t>
  </si>
  <si>
    <t xml:space="preserve">Late inbound container</t>
  </si>
  <si>
    <t xml:space="preserve">WMS outage</t>
  </si>
  <si>
    <t xml:space="preserve">Mis-labelled pallet</t>
  </si>
  <si>
    <t xml:space="preserve">Cash-to-cash cycle and working capital</t>
  </si>
  <si>
    <t xml:space="preserve">Analytics Toolkit, Chapter 22 (USD million).</t>
  </si>
  <si>
    <t xml:space="preserve">Revenue</t>
  </si>
  <si>
    <t xml:space="preserve">Cost of goods sold</t>
  </si>
  <si>
    <t xml:space="preserve">Inventory</t>
  </si>
  <si>
    <t xml:space="preserve">Accounts receivable</t>
  </si>
  <si>
    <t xml:space="preserve">Accounts payable</t>
  </si>
  <si>
    <t xml:space="preserve">Cost of capital</t>
  </si>
  <si>
    <t xml:space="preserve">DIO</t>
  </si>
  <si>
    <t xml:space="preserve">DSO</t>
  </si>
  <si>
    <t xml:space="preserve">DPO</t>
  </si>
  <si>
    <t xml:space="preserve">Cash-to-cash cycle</t>
  </si>
  <si>
    <t xml:space="preserve">Reduction in DIO (days)</t>
  </si>
  <si>
    <t xml:space="preserve">Increase in DPO (days)</t>
  </si>
  <si>
    <t xml:space="preserve">Reduction in DSO (days)</t>
  </si>
  <si>
    <t xml:space="preserve">New cash-to-cash cycle</t>
  </si>
  <si>
    <t xml:space="preserve">Cash released (USD million)</t>
  </si>
  <si>
    <t xml:space="preserve">Annual value at cost of capital</t>
  </si>
  <si>
    <t xml:space="preserve">Cost-to-serve analysis</t>
  </si>
  <si>
    <t xml:space="preserve">Worked Example 22.2. Activity rates are inputs.</t>
  </si>
  <si>
    <t xml:space="preserve">Order processing (USD/order)</t>
  </si>
  <si>
    <t xml:space="preserve">Picking (USD/line)</t>
  </si>
  <si>
    <t xml:space="preserve">Returns handling (% of returned value)</t>
  </si>
  <si>
    <t xml:space="preserve">Customer</t>
  </si>
  <si>
    <t xml:space="preserve">Gross margin</t>
  </si>
  <si>
    <t xml:space="preserve">Orders</t>
  </si>
  <si>
    <t xml:space="preserve">Lines</t>
  </si>
  <si>
    <t xml:space="preserve">Delivery cost/order</t>
  </si>
  <si>
    <t xml:space="preserve">Return rate</t>
  </si>
  <si>
    <t xml:space="preserve">Gross profit</t>
  </si>
  <si>
    <t xml:space="preserve">Order cost</t>
  </si>
  <si>
    <t xml:space="preserve">Picking cost</t>
  </si>
  <si>
    <t xml:space="preserve">Delivery cost</t>
  </si>
  <si>
    <t xml:space="preserve">Returns cost</t>
  </si>
  <si>
    <t xml:space="preserve">Cost to serve</t>
  </si>
  <si>
    <t xml:space="preserve">Net contribution</t>
  </si>
  <si>
    <t xml:space="preserve">Net %</t>
  </si>
  <si>
    <t xml:space="preserve">Hypermarket chain</t>
  </si>
  <si>
    <t xml:space="preserve">Pharmacy group</t>
  </si>
  <si>
    <t xml:space="preserve">Online marketplace</t>
  </si>
  <si>
    <t xml:space="preserve">Wholesaler</t>
  </si>
</sst>
</file>

<file path=xl/styles.xml><?xml version="1.0" encoding="utf-8"?>
<styleSheet xmlns="http://schemas.openxmlformats.org/spreadsheetml/2006/main">
  <numFmts count="9">
    <numFmt numFmtId="164" formatCode="General"/>
    <numFmt numFmtId="165" formatCode="0.00"/>
    <numFmt numFmtId="166" formatCode="0.0%"/>
    <numFmt numFmtId="167" formatCode="#,##0"/>
    <numFmt numFmtId="168" formatCode="0.0"/>
    <numFmt numFmtId="169" formatCode="0.00%"/>
    <numFmt numFmtId="170" formatCode="0.000"/>
    <numFmt numFmtId="171" formatCode="0"/>
    <numFmt numFmtId="172" formatCode="0%"/>
  </numFmts>
  <fonts count="9">
    <font>
      <sz val="11"/>
      <color theme="1"/>
      <name val="Calibri"/>
      <family val="2"/>
      <charset val="1"/>
    </font>
    <font>
      <sz val="10"/>
      <name val="Arial"/>
      <family val="0"/>
    </font>
    <font>
      <sz val="10"/>
      <name val="Arial"/>
      <family val="0"/>
    </font>
    <font>
      <sz val="10"/>
      <name val="Arial"/>
      <family val="0"/>
    </font>
    <font>
      <b val="true"/>
      <sz val="13"/>
      <color rgb="FF1F3864"/>
      <name val="Arial"/>
      <family val="0"/>
      <charset val="1"/>
    </font>
    <font>
      <b val="true"/>
      <sz val="10"/>
      <name val="Arial"/>
      <family val="0"/>
      <charset val="1"/>
    </font>
    <font>
      <sz val="10"/>
      <name val="Arial"/>
      <family val="0"/>
      <charset val="1"/>
    </font>
    <font>
      <i val="true"/>
      <sz val="9"/>
      <color rgb="FF595959"/>
      <name val="Arial"/>
      <family val="0"/>
      <charset val="1"/>
    </font>
    <font>
      <sz val="10"/>
      <color rgb="FF0000FF"/>
      <name val="Arial"/>
      <family val="0"/>
      <charset val="1"/>
    </font>
  </fonts>
  <fills count="4">
    <fill>
      <patternFill patternType="none"/>
    </fill>
    <fill>
      <patternFill patternType="gray125"/>
    </fill>
    <fill>
      <patternFill patternType="solid">
        <fgColor rgb="FFD9E2F3"/>
        <bgColor rgb="FFCCFFFF"/>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7" fontId="8" fillId="3"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8" fontId="8" fillId="3" borderId="0" xfId="0" applyFont="true" applyBorder="false" applyAlignment="false" applyProtection="false">
      <alignment horizontal="general" vertical="bottom" textRotation="0" wrapText="false" indent="0" shrinkToFit="false"/>
      <protection locked="true" hidden="false"/>
    </xf>
    <xf numFmtId="172" fontId="8"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95"/>
  </cols>
  <sheetData>
    <row r="1" customFormat="false" ht="16.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2" t="s">
        <v>2</v>
      </c>
      <c r="B4" s="3" t="s">
        <v>3</v>
      </c>
    </row>
    <row r="5" customFormat="false" ht="15" hidden="false" customHeight="false" outlineLevel="0" collapsed="false">
      <c r="A5" s="2" t="s">
        <v>4</v>
      </c>
      <c r="B5" s="3" t="s">
        <v>5</v>
      </c>
    </row>
    <row r="6" customFormat="false" ht="15" hidden="false" customHeight="false" outlineLevel="0" collapsed="false">
      <c r="A6" s="2" t="s">
        <v>6</v>
      </c>
      <c r="B6" s="3" t="s">
        <v>7</v>
      </c>
    </row>
    <row r="7" customFormat="false" ht="15" hidden="false" customHeight="false" outlineLevel="0" collapsed="false">
      <c r="A7" s="2" t="s">
        <v>8</v>
      </c>
      <c r="B7" s="3" t="s">
        <v>9</v>
      </c>
    </row>
    <row r="8" customFormat="false" ht="15" hidden="false" customHeight="false" outlineLevel="0" collapsed="false">
      <c r="A8" s="2" t="s">
        <v>10</v>
      </c>
      <c r="B8" s="3" t="s">
        <v>11</v>
      </c>
    </row>
    <row r="9" customFormat="false" ht="15" hidden="false" customHeight="false" outlineLevel="0" collapsed="false">
      <c r="A9" s="2" t="s">
        <v>12</v>
      </c>
      <c r="B9" s="3" t="s">
        <v>13</v>
      </c>
    </row>
    <row r="10" customFormat="false" ht="15" hidden="false" customHeight="false" outlineLevel="0" collapsed="false">
      <c r="A10" s="2" t="s">
        <v>14</v>
      </c>
      <c r="B10" s="3" t="s">
        <v>15</v>
      </c>
    </row>
    <row r="11" customFormat="false" ht="15" hidden="false" customHeight="false" outlineLevel="0" collapsed="false">
      <c r="A11" s="2" t="s">
        <v>16</v>
      </c>
      <c r="B11" s="3" t="s">
        <v>17</v>
      </c>
    </row>
    <row r="12" customFormat="false" ht="15" hidden="false" customHeight="false" outlineLevel="0" collapsed="false">
      <c r="A12" s="2" t="s">
        <v>18</v>
      </c>
      <c r="B12" s="3" t="s">
        <v>19</v>
      </c>
    </row>
    <row r="13" customFormat="false" ht="15" hidden="false" customHeight="false" outlineLevel="0" collapsed="false">
      <c r="A13" s="2" t="s">
        <v>20</v>
      </c>
      <c r="B13" s="3" t="s">
        <v>21</v>
      </c>
    </row>
    <row r="14" customFormat="false" ht="15" hidden="false" customHeight="false" outlineLevel="0" collapsed="false">
      <c r="A14" s="2" t="s">
        <v>22</v>
      </c>
      <c r="B14" s="3" t="s">
        <v>23</v>
      </c>
    </row>
    <row r="15" customFormat="false" ht="15" hidden="false" customHeight="false" outlineLevel="0" collapsed="false">
      <c r="A15" s="2" t="s">
        <v>24</v>
      </c>
      <c r="B15" s="3" t="s">
        <v>25</v>
      </c>
    </row>
    <row r="16" customFormat="false" ht="15" hidden="false" customHeight="false" outlineLevel="0" collapsed="false">
      <c r="A16" s="2" t="s">
        <v>26</v>
      </c>
      <c r="B16" s="3" t="s">
        <v>27</v>
      </c>
    </row>
    <row r="17" customFormat="false" ht="15" hidden="false" customHeight="false" outlineLevel="0" collapsed="false">
      <c r="A17" s="2" t="s">
        <v>28</v>
      </c>
      <c r="B17" s="3" t="s">
        <v>29</v>
      </c>
    </row>
    <row r="18" customFormat="false" ht="15" hidden="false" customHeight="false" outlineLevel="0" collapsed="false">
      <c r="A18" s="2" t="s">
        <v>30</v>
      </c>
      <c r="B18" s="3" t="s">
        <v>31</v>
      </c>
    </row>
    <row r="19" customFormat="false" ht="23.85" hidden="false" customHeight="false" outlineLevel="0" collapsed="false">
      <c r="A19" s="2" t="s">
        <v>32</v>
      </c>
      <c r="B19" s="3" t="s">
        <v>33</v>
      </c>
    </row>
    <row r="20" customFormat="false" ht="15" hidden="false" customHeight="false" outlineLevel="0" collapsed="false">
      <c r="A20" s="2" t="s">
        <v>34</v>
      </c>
      <c r="B20" s="3"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15" min="2" style="0" width="14"/>
  </cols>
  <sheetData>
    <row r="1" customFormat="false" ht="16.15" hidden="false" customHeight="false" outlineLevel="0" collapsed="false">
      <c r="A1" s="1" t="s">
        <v>36</v>
      </c>
    </row>
    <row r="2" customFormat="false" ht="15" hidden="false" customHeight="false" outlineLevel="0" collapsed="false">
      <c r="A2" s="4" t="s">
        <v>37</v>
      </c>
    </row>
    <row r="4" customFormat="false" ht="23.85" hidden="false" customHeight="false" outlineLevel="0" collapsed="false">
      <c r="A4" s="5" t="s">
        <v>38</v>
      </c>
      <c r="B4" s="5" t="s">
        <v>39</v>
      </c>
      <c r="C4" s="5" t="s">
        <v>40</v>
      </c>
      <c r="D4" s="5" t="s">
        <v>41</v>
      </c>
    </row>
    <row r="5" customFormat="false" ht="15" hidden="false" customHeight="false" outlineLevel="0" collapsed="false">
      <c r="A5" s="6" t="s">
        <v>42</v>
      </c>
      <c r="B5" s="7" t="n">
        <v>20</v>
      </c>
      <c r="C5" s="7" t="n">
        <v>22.5</v>
      </c>
      <c r="D5" s="7" t="n">
        <v>24.8</v>
      </c>
    </row>
    <row r="6" customFormat="false" ht="15" hidden="false" customHeight="false" outlineLevel="0" collapsed="false">
      <c r="A6" s="6" t="s">
        <v>43</v>
      </c>
      <c r="B6" s="7" t="n">
        <v>1.8</v>
      </c>
      <c r="C6" s="7" t="n">
        <v>0.7</v>
      </c>
      <c r="D6" s="7" t="n">
        <v>0.3</v>
      </c>
    </row>
    <row r="7" customFormat="false" ht="15" hidden="false" customHeight="false" outlineLevel="0" collapsed="false">
      <c r="A7" s="6" t="s">
        <v>44</v>
      </c>
      <c r="B7" s="8" t="n">
        <f aca="false">B5*B12</f>
        <v>1</v>
      </c>
      <c r="C7" s="8" t="n">
        <f aca="false">C5*C12</f>
        <v>0</v>
      </c>
      <c r="D7" s="8" t="n">
        <f aca="false">D5*D12</f>
        <v>0</v>
      </c>
    </row>
    <row r="8" customFormat="false" ht="15" hidden="false" customHeight="false" outlineLevel="0" collapsed="false">
      <c r="A8" s="6" t="s">
        <v>45</v>
      </c>
      <c r="B8" s="7" t="n">
        <v>1.2</v>
      </c>
      <c r="C8" s="7" t="n">
        <v>0.4</v>
      </c>
      <c r="D8" s="7" t="n">
        <v>0.2</v>
      </c>
    </row>
    <row r="9" customFormat="false" ht="15" hidden="false" customHeight="false" outlineLevel="0" collapsed="false">
      <c r="A9" s="6" t="s">
        <v>46</v>
      </c>
      <c r="B9" s="7" t="n">
        <v>0.6</v>
      </c>
      <c r="C9" s="7" t="n">
        <v>0.2</v>
      </c>
      <c r="D9" s="7" t="n">
        <v>0.1</v>
      </c>
    </row>
    <row r="10" customFormat="false" ht="15" hidden="false" customHeight="false" outlineLevel="0" collapsed="false">
      <c r="A10" s="2" t="s">
        <v>47</v>
      </c>
      <c r="B10" s="9" t="n">
        <f aca="false">SUM(B5:B9)</f>
        <v>24.6</v>
      </c>
      <c r="C10" s="9" t="n">
        <f aca="false">SUM(C5:C9)</f>
        <v>23.8</v>
      </c>
      <c r="D10" s="9" t="n">
        <f aca="false">SUM(D5:D9)</f>
        <v>25.4</v>
      </c>
    </row>
    <row r="12" customFormat="false" ht="15" hidden="false" customHeight="false" outlineLevel="0" collapsed="false">
      <c r="A12" s="6" t="s">
        <v>48</v>
      </c>
      <c r="B12" s="10" t="n">
        <v>0.05</v>
      </c>
      <c r="C12" s="10" t="n">
        <v>0</v>
      </c>
      <c r="D12" s="10" t="n">
        <v>0</v>
      </c>
    </row>
    <row r="14" customFormat="false" ht="15" hidden="false" customHeight="false" outlineLevel="0" collapsed="false">
      <c r="A14" s="2" t="s">
        <v>49</v>
      </c>
      <c r="B14" s="6" t="str">
        <f aca="false">INDEX(B4:D4,MATCH(MIN(B10:D10),B10:D10,0))</f>
        <v>Nearshore</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15" min="2" style="0" width="14"/>
  </cols>
  <sheetData>
    <row r="1" customFormat="false" ht="16.15" hidden="false" customHeight="false" outlineLevel="0" collapsed="false">
      <c r="A1" s="1" t="s">
        <v>50</v>
      </c>
    </row>
    <row r="2" customFormat="false" ht="15" hidden="false" customHeight="false" outlineLevel="0" collapsed="false">
      <c r="A2" s="4" t="s">
        <v>51</v>
      </c>
    </row>
    <row r="4" customFormat="false" ht="15" hidden="false" customHeight="false" outlineLevel="0" collapsed="false">
      <c r="A4" s="5" t="s">
        <v>52</v>
      </c>
      <c r="B4" s="5" t="s">
        <v>53</v>
      </c>
      <c r="C4" s="5" t="s">
        <v>54</v>
      </c>
      <c r="D4" s="5" t="s">
        <v>55</v>
      </c>
      <c r="E4" s="5" t="s">
        <v>56</v>
      </c>
      <c r="F4" s="5" t="s">
        <v>57</v>
      </c>
    </row>
    <row r="5" customFormat="false" ht="15" hidden="false" customHeight="false" outlineLevel="0" collapsed="false">
      <c r="A5" s="6" t="s">
        <v>58</v>
      </c>
      <c r="B5" s="11" t="n">
        <v>80</v>
      </c>
      <c r="C5" s="11" t="n">
        <v>40</v>
      </c>
      <c r="D5" s="12" t="n">
        <v>42000</v>
      </c>
      <c r="E5" s="13" t="n">
        <f aca="false">B5*D5</f>
        <v>3360000</v>
      </c>
      <c r="F5" s="13" t="n">
        <f aca="false">C5*D5</f>
        <v>1680000</v>
      </c>
    </row>
    <row r="6" customFormat="false" ht="15" hidden="false" customHeight="false" outlineLevel="0" collapsed="false">
      <c r="A6" s="6" t="s">
        <v>59</v>
      </c>
      <c r="B6" s="11" t="n">
        <v>30</v>
      </c>
      <c r="C6" s="11" t="n">
        <v>70</v>
      </c>
      <c r="D6" s="12" t="n">
        <v>65000</v>
      </c>
      <c r="E6" s="13" t="n">
        <f aca="false">B6*D6</f>
        <v>1950000</v>
      </c>
      <c r="F6" s="13" t="n">
        <f aca="false">C6*D6</f>
        <v>4550000</v>
      </c>
    </row>
    <row r="7" customFormat="false" ht="15" hidden="false" customHeight="false" outlineLevel="0" collapsed="false">
      <c r="A7" s="6" t="s">
        <v>60</v>
      </c>
      <c r="B7" s="11" t="n">
        <v>10</v>
      </c>
      <c r="C7" s="11" t="n">
        <v>55</v>
      </c>
      <c r="D7" s="12" t="n">
        <v>38000</v>
      </c>
      <c r="E7" s="13" t="n">
        <f aca="false">B7*D7</f>
        <v>380000</v>
      </c>
      <c r="F7" s="13" t="n">
        <f aca="false">C7*D7</f>
        <v>2090000</v>
      </c>
    </row>
    <row r="8" customFormat="false" ht="15" hidden="false" customHeight="false" outlineLevel="0" collapsed="false">
      <c r="A8" s="6" t="s">
        <v>61</v>
      </c>
      <c r="B8" s="11" t="n">
        <v>0</v>
      </c>
      <c r="C8" s="11" t="n">
        <v>85</v>
      </c>
      <c r="D8" s="12" t="n">
        <v>22000</v>
      </c>
      <c r="E8" s="13" t="n">
        <f aca="false">B8*D8</f>
        <v>0</v>
      </c>
      <c r="F8" s="13" t="n">
        <f aca="false">C8*D8</f>
        <v>1870000</v>
      </c>
    </row>
    <row r="9" customFormat="false" ht="15" hidden="false" customHeight="false" outlineLevel="0" collapsed="false">
      <c r="A9" s="6" t="s">
        <v>62</v>
      </c>
      <c r="B9" s="11" t="n">
        <v>60</v>
      </c>
      <c r="C9" s="11" t="n">
        <v>62</v>
      </c>
      <c r="D9" s="12" t="n">
        <v>15000</v>
      </c>
      <c r="E9" s="13" t="n">
        <f aca="false">B9*D9</f>
        <v>900000</v>
      </c>
      <c r="F9" s="13" t="n">
        <f aca="false">C9*D9</f>
        <v>930000</v>
      </c>
    </row>
    <row r="10" customFormat="false" ht="15" hidden="false" customHeight="false" outlineLevel="0" collapsed="false">
      <c r="A10" s="6" t="s">
        <v>63</v>
      </c>
      <c r="B10" s="11" t="n">
        <v>70</v>
      </c>
      <c r="C10" s="11" t="n">
        <v>0</v>
      </c>
      <c r="D10" s="12" t="n">
        <v>18000</v>
      </c>
      <c r="E10" s="13" t="n">
        <f aca="false">B10*D10</f>
        <v>1260000</v>
      </c>
      <c r="F10" s="13" t="n">
        <f aca="false">C10*D10</f>
        <v>0</v>
      </c>
    </row>
    <row r="11" customFormat="false" ht="15" hidden="false" customHeight="false" outlineLevel="0" collapsed="false">
      <c r="A11" s="2" t="s">
        <v>64</v>
      </c>
      <c r="D11" s="13" t="n">
        <f aca="false">SUM(D5:D10)</f>
        <v>200000</v>
      </c>
      <c r="E11" s="13" t="n">
        <f aca="false">SUM(E5:E10)</f>
        <v>7850000</v>
      </c>
      <c r="F11" s="13" t="n">
        <f aca="false">SUM(F5:F10)</f>
        <v>11120000</v>
      </c>
    </row>
    <row r="13" customFormat="false" ht="15" hidden="false" customHeight="false" outlineLevel="0" collapsed="false">
      <c r="A13" s="2" t="s">
        <v>65</v>
      </c>
      <c r="B13" s="8" t="n">
        <f aca="false">E11/D11</f>
        <v>39.25</v>
      </c>
    </row>
    <row r="14" customFormat="false" ht="15" hidden="false" customHeight="false" outlineLevel="0" collapsed="false">
      <c r="A14" s="2" t="s">
        <v>66</v>
      </c>
      <c r="B14" s="8" t="n">
        <f aca="false">F11/D11</f>
        <v>55.6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15" min="2" style="0" width="14"/>
  </cols>
  <sheetData>
    <row r="1" customFormat="false" ht="16.15" hidden="false" customHeight="false" outlineLevel="0" collapsed="false">
      <c r="A1" s="1" t="s">
        <v>67</v>
      </c>
    </row>
    <row r="2" customFormat="false" ht="15" hidden="false" customHeight="false" outlineLevel="0" collapsed="false">
      <c r="A2" s="4" t="s">
        <v>68</v>
      </c>
    </row>
    <row r="4" customFormat="false" ht="15" hidden="false" customHeight="false" outlineLevel="0" collapsed="false">
      <c r="A4" s="5" t="s">
        <v>69</v>
      </c>
      <c r="B4" s="5" t="s">
        <v>70</v>
      </c>
      <c r="C4" s="5" t="s">
        <v>71</v>
      </c>
      <c r="D4" s="5" t="s">
        <v>72</v>
      </c>
      <c r="E4" s="5" t="s">
        <v>73</v>
      </c>
      <c r="F4" s="5" t="s">
        <v>74</v>
      </c>
      <c r="G4" s="5" t="s">
        <v>75</v>
      </c>
      <c r="H4" s="5" t="s">
        <v>76</v>
      </c>
    </row>
    <row r="5" customFormat="false" ht="15" hidden="false" customHeight="false" outlineLevel="0" collapsed="false">
      <c r="A5" s="6" t="s">
        <v>77</v>
      </c>
      <c r="B5" s="11" t="n">
        <v>2</v>
      </c>
      <c r="C5" s="11" t="n">
        <v>6</v>
      </c>
      <c r="D5" s="11" t="n">
        <v>8</v>
      </c>
      <c r="E5" s="11" t="n">
        <v>5</v>
      </c>
      <c r="F5" s="11" t="n">
        <v>9</v>
      </c>
      <c r="G5" s="12" t="n">
        <v>1200000</v>
      </c>
      <c r="H5" s="12" t="n">
        <v>150000</v>
      </c>
    </row>
    <row r="6" customFormat="false" ht="15" hidden="false" customHeight="false" outlineLevel="0" collapsed="false">
      <c r="A6" s="6" t="s">
        <v>78</v>
      </c>
      <c r="B6" s="11" t="n">
        <v>5</v>
      </c>
      <c r="C6" s="11" t="n">
        <v>3</v>
      </c>
      <c r="D6" s="11" t="n">
        <v>10</v>
      </c>
      <c r="E6" s="11" t="n">
        <v>8</v>
      </c>
      <c r="F6" s="11" t="n">
        <v>12</v>
      </c>
      <c r="G6" s="12" t="n">
        <v>850000</v>
      </c>
      <c r="H6" s="12" t="n">
        <v>110000</v>
      </c>
    </row>
    <row r="7" customFormat="false" ht="15" hidden="false" customHeight="false" outlineLevel="0" collapsed="false">
      <c r="A7" s="6" t="s">
        <v>79</v>
      </c>
      <c r="B7" s="11" t="n">
        <v>7</v>
      </c>
      <c r="C7" s="11" t="n">
        <v>11</v>
      </c>
      <c r="D7" s="11" t="n">
        <v>3</v>
      </c>
      <c r="E7" s="11" t="n">
        <v>5</v>
      </c>
      <c r="F7" s="11" t="n">
        <v>4</v>
      </c>
      <c r="G7" s="12" t="n">
        <v>950000</v>
      </c>
      <c r="H7" s="12" t="n">
        <v>120000</v>
      </c>
    </row>
    <row r="11" customFormat="false" ht="15" hidden="false" customHeight="false" outlineLevel="0" collapsed="false">
      <c r="A11" s="2" t="s">
        <v>80</v>
      </c>
      <c r="B11" s="12" t="n">
        <v>70000</v>
      </c>
      <c r="C11" s="12" t="n">
        <v>45000</v>
      </c>
      <c r="D11" s="12" t="n">
        <v>40000</v>
      </c>
      <c r="E11" s="12" t="n">
        <v>25000</v>
      </c>
      <c r="F11" s="12" t="n">
        <v>20000</v>
      </c>
    </row>
    <row r="13" customFormat="false" ht="23.85" hidden="false" customHeight="false" outlineLevel="0" collapsed="false">
      <c r="A13" s="5" t="s">
        <v>81</v>
      </c>
      <c r="B13" s="5" t="s">
        <v>70</v>
      </c>
      <c r="C13" s="5" t="s">
        <v>71</v>
      </c>
      <c r="D13" s="5" t="s">
        <v>72</v>
      </c>
      <c r="E13" s="5" t="s">
        <v>73</v>
      </c>
      <c r="F13" s="5" t="s">
        <v>74</v>
      </c>
      <c r="G13" s="5" t="s">
        <v>82</v>
      </c>
      <c r="H13" s="5" t="s">
        <v>83</v>
      </c>
      <c r="I13" s="5" t="s">
        <v>84</v>
      </c>
    </row>
    <row r="14" customFormat="false" ht="15" hidden="false" customHeight="false" outlineLevel="0" collapsed="false">
      <c r="A14" s="6" t="s">
        <v>77</v>
      </c>
      <c r="B14" s="12" t="n">
        <v>0</v>
      </c>
      <c r="C14" s="12" t="n">
        <v>0</v>
      </c>
      <c r="D14" s="12" t="n">
        <v>0</v>
      </c>
      <c r="E14" s="12" t="n">
        <v>0</v>
      </c>
      <c r="F14" s="12" t="n">
        <v>0</v>
      </c>
      <c r="G14" s="13" t="n">
        <f aca="false">SUM(B14:F14)</f>
        <v>0</v>
      </c>
      <c r="H14" s="11" t="n">
        <v>0</v>
      </c>
      <c r="I14" s="13" t="n">
        <f aca="false">H14*H5</f>
        <v>0</v>
      </c>
    </row>
    <row r="15" customFormat="false" ht="15" hidden="false" customHeight="false" outlineLevel="0" collapsed="false">
      <c r="A15" s="6" t="s">
        <v>78</v>
      </c>
      <c r="B15" s="12" t="n">
        <v>65000</v>
      </c>
      <c r="C15" s="12" t="n">
        <v>45000</v>
      </c>
      <c r="D15" s="12" t="n">
        <v>0</v>
      </c>
      <c r="E15" s="12" t="n">
        <v>0</v>
      </c>
      <c r="F15" s="12" t="n">
        <v>0</v>
      </c>
      <c r="G15" s="13" t="n">
        <f aca="false">SUM(B15:F15)</f>
        <v>110000</v>
      </c>
      <c r="H15" s="11" t="n">
        <v>1</v>
      </c>
      <c r="I15" s="13" t="n">
        <f aca="false">H15*H6</f>
        <v>110000</v>
      </c>
    </row>
    <row r="16" customFormat="false" ht="15" hidden="false" customHeight="false" outlineLevel="0" collapsed="false">
      <c r="A16" s="6" t="s">
        <v>79</v>
      </c>
      <c r="B16" s="12" t="n">
        <v>5000</v>
      </c>
      <c r="C16" s="12" t="n">
        <v>0</v>
      </c>
      <c r="D16" s="12" t="n">
        <v>40000</v>
      </c>
      <c r="E16" s="12" t="n">
        <v>25000</v>
      </c>
      <c r="F16" s="12" t="n">
        <v>20000</v>
      </c>
      <c r="G16" s="13" t="n">
        <f aca="false">SUM(B16:F16)</f>
        <v>90000</v>
      </c>
      <c r="H16" s="11" t="n">
        <v>1</v>
      </c>
      <c r="I16" s="13" t="n">
        <f aca="false">H16*H7</f>
        <v>120000</v>
      </c>
    </row>
    <row r="17" customFormat="false" ht="15" hidden="false" customHeight="false" outlineLevel="0" collapsed="false">
      <c r="A17" s="2" t="s">
        <v>85</v>
      </c>
      <c r="B17" s="13" t="n">
        <f aca="false">SUM(B14:B16)</f>
        <v>70000</v>
      </c>
      <c r="C17" s="13" t="n">
        <f aca="false">SUM(C14:C16)</f>
        <v>45000</v>
      </c>
      <c r="D17" s="13" t="n">
        <f aca="false">SUM(D14:D16)</f>
        <v>40000</v>
      </c>
      <c r="E17" s="13" t="n">
        <f aca="false">SUM(E14:E16)</f>
        <v>25000</v>
      </c>
      <c r="F17" s="13" t="n">
        <f aca="false">SUM(F14:F16)</f>
        <v>20000</v>
      </c>
    </row>
    <row r="20" customFormat="false" ht="15" hidden="false" customHeight="false" outlineLevel="0" collapsed="false">
      <c r="A20" s="2" t="s">
        <v>86</v>
      </c>
      <c r="B20" s="13" t="n">
        <f aca="false">SUMPRODUCT(B5:F7,B14:F16)</f>
        <v>820000</v>
      </c>
    </row>
    <row r="21" customFormat="false" ht="15" hidden="false" customHeight="false" outlineLevel="0" collapsed="false">
      <c r="A21" s="2" t="s">
        <v>75</v>
      </c>
      <c r="B21" s="13" t="n">
        <f aca="false">SUMPRODUCT(G5:G7,H14:H16)</f>
        <v>1800000</v>
      </c>
    </row>
    <row r="22" customFormat="false" ht="15" hidden="false" customHeight="false" outlineLevel="0" collapsed="false">
      <c r="A22" s="2" t="s">
        <v>87</v>
      </c>
      <c r="B22" s="14" t="n">
        <f aca="false">B20+B21</f>
        <v>2620000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15" min="2" style="0" width="14"/>
  </cols>
  <sheetData>
    <row r="1" customFormat="false" ht="16.15" hidden="false" customHeight="false" outlineLevel="0" collapsed="false">
      <c r="A1" s="1" t="s">
        <v>88</v>
      </c>
    </row>
    <row r="2" customFormat="false" ht="15" hidden="false" customHeight="false" outlineLevel="0" collapsed="false">
      <c r="A2" s="4" t="s">
        <v>89</v>
      </c>
    </row>
    <row r="3" customFormat="false" ht="15" hidden="false" customHeight="false" outlineLevel="0" collapsed="false">
      <c r="A3" s="6" t="s">
        <v>90</v>
      </c>
      <c r="B3" s="11" t="n">
        <v>2</v>
      </c>
    </row>
    <row r="4" customFormat="false" ht="23.85" hidden="false" customHeight="false" outlineLevel="0" collapsed="false">
      <c r="A4" s="5" t="s">
        <v>91</v>
      </c>
      <c r="B4" s="5" t="s">
        <v>92</v>
      </c>
      <c r="C4" s="5" t="s">
        <v>93</v>
      </c>
      <c r="D4" s="5" t="s">
        <v>94</v>
      </c>
      <c r="E4" s="5" t="s">
        <v>95</v>
      </c>
      <c r="F4" s="5" t="s">
        <v>96</v>
      </c>
    </row>
    <row r="5" customFormat="false" ht="15" hidden="false" customHeight="false" outlineLevel="0" collapsed="false">
      <c r="A5" s="6" t="s">
        <v>97</v>
      </c>
      <c r="B5" s="15" t="n">
        <f aca="false">_xlfn.STDEV.S(B9:B79)</f>
        <v>9.22979603289548</v>
      </c>
      <c r="C5" s="15" t="n">
        <f aca="false">_xlfn.STDEV.S(E9:E79)</f>
        <v>12.0993542305122</v>
      </c>
      <c r="D5" s="15" t="n">
        <f aca="false">_xlfn.STDEV.S(H9:H79)</f>
        <v>17.2136619611089</v>
      </c>
      <c r="E5" s="15" t="n">
        <f aca="false">_xlfn.STDEV.S(K9:K79)</f>
        <v>25.0230614945887</v>
      </c>
      <c r="F5" s="15" t="n">
        <f aca="false">_xlfn.STDEV.S(N9:N79)</f>
        <v>36.397218512181</v>
      </c>
    </row>
    <row r="6" customFormat="false" ht="15" hidden="false" customHeight="false" outlineLevel="0" collapsed="false">
      <c r="A6" s="6" t="s">
        <v>98</v>
      </c>
      <c r="B6" s="8" t="n">
        <f aca="false">_xlfn.VAR.S(B9:B79)/_xlfn.VAR.S($B$9:$B$79)</f>
        <v>1</v>
      </c>
      <c r="C6" s="8" t="n">
        <f aca="false">_xlfn.VAR.S(E9:E79)/_xlfn.VAR.S($B$9:$B$79)</f>
        <v>1.71846296037509</v>
      </c>
      <c r="D6" s="8" t="n">
        <f aca="false">_xlfn.VAR.S(H9:H79)/_xlfn.VAR.S($B$9:$B$79)</f>
        <v>3.47826232507452</v>
      </c>
      <c r="E6" s="8" t="n">
        <f aca="false">_xlfn.VAR.S(K9:K79)/_xlfn.VAR.S($B$9:$B$79)</f>
        <v>7.35015806847818</v>
      </c>
      <c r="F6" s="8" t="n">
        <f aca="false">_xlfn.VAR.S(N9:N79)/_xlfn.VAR.S($B$9:$B$79)</f>
        <v>15.5507802537957</v>
      </c>
    </row>
    <row r="8" customFormat="false" ht="23.85" hidden="false" customHeight="false" outlineLevel="0" collapsed="false">
      <c r="A8" s="5" t="s">
        <v>99</v>
      </c>
      <c r="B8" s="5" t="s">
        <v>92</v>
      </c>
      <c r="C8" s="5" t="s">
        <v>100</v>
      </c>
      <c r="D8" s="5" t="s">
        <v>101</v>
      </c>
      <c r="E8" s="5" t="s">
        <v>102</v>
      </c>
      <c r="F8" s="5" t="s">
        <v>103</v>
      </c>
      <c r="G8" s="5" t="s">
        <v>104</v>
      </c>
      <c r="H8" s="5" t="s">
        <v>105</v>
      </c>
      <c r="I8" s="5" t="s">
        <v>106</v>
      </c>
      <c r="J8" s="5" t="s">
        <v>107</v>
      </c>
      <c r="K8" s="5" t="s">
        <v>108</v>
      </c>
      <c r="L8" s="5" t="s">
        <v>109</v>
      </c>
      <c r="M8" s="5" t="s">
        <v>110</v>
      </c>
      <c r="N8" s="5" t="s">
        <v>111</v>
      </c>
    </row>
    <row r="9" customFormat="false" ht="15" hidden="false" customHeight="false" outlineLevel="0" collapsed="false">
      <c r="A9" s="6" t="n">
        <v>1</v>
      </c>
      <c r="B9" s="11" t="n">
        <v>104</v>
      </c>
      <c r="C9" s="15" t="str">
        <f aca="false">""</f>
        <v/>
      </c>
      <c r="D9" s="15" t="str">
        <f aca="false">IF(C9="","",$B$3*C9)</f>
        <v/>
      </c>
      <c r="E9" s="15" t="str">
        <f aca="false">""</f>
        <v/>
      </c>
      <c r="F9" s="15" t="str">
        <f aca="false">""</f>
        <v/>
      </c>
      <c r="G9" s="15" t="str">
        <f aca="false">IF(F9="","",$B$3*F9)</f>
        <v/>
      </c>
      <c r="H9" s="15" t="str">
        <f aca="false">""</f>
        <v/>
      </c>
      <c r="I9" s="15" t="str">
        <f aca="false">""</f>
        <v/>
      </c>
      <c r="J9" s="15" t="str">
        <f aca="false">IF(I9="","",$B$3*I9)</f>
        <v/>
      </c>
      <c r="K9" s="15" t="str">
        <f aca="false">""</f>
        <v/>
      </c>
      <c r="L9" s="15" t="str">
        <f aca="false">""</f>
        <v/>
      </c>
      <c r="M9" s="15" t="str">
        <f aca="false">IF(L9="","",$B$3*L9)</f>
        <v/>
      </c>
      <c r="N9" s="15" t="str">
        <f aca="false">""</f>
        <v/>
      </c>
    </row>
    <row r="10" customFormat="false" ht="15" hidden="false" customHeight="false" outlineLevel="0" collapsed="false">
      <c r="A10" s="6" t="n">
        <v>2</v>
      </c>
      <c r="B10" s="11" t="n">
        <v>115</v>
      </c>
      <c r="C10" s="15" t="str">
        <f aca="false">""</f>
        <v/>
      </c>
      <c r="D10" s="15" t="str">
        <f aca="false">IF(C10="","",$B$3*C10)</f>
        <v/>
      </c>
      <c r="E10" s="15" t="str">
        <f aca="false">IF(OR(D10="",D9=""),"",D10-D9+B9)</f>
        <v/>
      </c>
      <c r="F10" s="15" t="str">
        <f aca="false">""</f>
        <v/>
      </c>
      <c r="G10" s="15" t="str">
        <f aca="false">IF(F10="","",$B$3*F10)</f>
        <v/>
      </c>
      <c r="H10" s="15" t="str">
        <f aca="false">IF(OR(G10="",G9=""),"",G10-G9+E9)</f>
        <v/>
      </c>
      <c r="I10" s="15" t="str">
        <f aca="false">""</f>
        <v/>
      </c>
      <c r="J10" s="15" t="str">
        <f aca="false">IF(I10="","",$B$3*I10)</f>
        <v/>
      </c>
      <c r="K10" s="15" t="str">
        <f aca="false">IF(OR(J10="",J9=""),"",J10-J9+H9)</f>
        <v/>
      </c>
      <c r="L10" s="15" t="str">
        <f aca="false">""</f>
        <v/>
      </c>
      <c r="M10" s="15" t="str">
        <f aca="false">IF(L10="","",$B$3*L10)</f>
        <v/>
      </c>
      <c r="N10" s="15" t="str">
        <f aca="false">IF(OR(M10="",M9=""),"",M10-M9+K9)</f>
        <v/>
      </c>
    </row>
    <row r="11" customFormat="false" ht="15" hidden="false" customHeight="false" outlineLevel="0" collapsed="false">
      <c r="A11" s="6" t="n">
        <v>3</v>
      </c>
      <c r="B11" s="11" t="n">
        <v>82</v>
      </c>
      <c r="C11" s="15" t="str">
        <f aca="false">""</f>
        <v/>
      </c>
      <c r="D11" s="15" t="str">
        <f aca="false">IF(C11="","",$B$3*C11)</f>
        <v/>
      </c>
      <c r="E11" s="15" t="str">
        <f aca="false">IF(OR(D11="",D10=""),"",D11-D10+B10)</f>
        <v/>
      </c>
      <c r="F11" s="15" t="str">
        <f aca="false">""</f>
        <v/>
      </c>
      <c r="G11" s="15" t="str">
        <f aca="false">IF(F11="","",$B$3*F11)</f>
        <v/>
      </c>
      <c r="H11" s="15" t="str">
        <f aca="false">IF(OR(G11="",G10=""),"",G11-G10+E10)</f>
        <v/>
      </c>
      <c r="I11" s="15" t="str">
        <f aca="false">""</f>
        <v/>
      </c>
      <c r="J11" s="15" t="str">
        <f aca="false">IF(I11="","",$B$3*I11)</f>
        <v/>
      </c>
      <c r="K11" s="15" t="str">
        <f aca="false">IF(OR(J11="",J10=""),"",J11-J10+H10)</f>
        <v/>
      </c>
      <c r="L11" s="15" t="str">
        <f aca="false">""</f>
        <v/>
      </c>
      <c r="M11" s="15" t="str">
        <f aca="false">IF(L11="","",$B$3*L11)</f>
        <v/>
      </c>
      <c r="N11" s="15" t="str">
        <f aca="false">IF(OR(M11="",M10=""),"",M11-M10+K10)</f>
        <v/>
      </c>
    </row>
    <row r="12" customFormat="false" ht="15" hidden="false" customHeight="false" outlineLevel="0" collapsed="false">
      <c r="A12" s="6" t="n">
        <v>4</v>
      </c>
      <c r="B12" s="11" t="n">
        <v>117</v>
      </c>
      <c r="C12" s="15" t="str">
        <f aca="false">""</f>
        <v/>
      </c>
      <c r="D12" s="15" t="str">
        <f aca="false">IF(C12="","",$B$3*C12)</f>
        <v/>
      </c>
      <c r="E12" s="15" t="str">
        <f aca="false">IF(OR(D12="",D11=""),"",D12-D11+B11)</f>
        <v/>
      </c>
      <c r="F12" s="15" t="str">
        <f aca="false">""</f>
        <v/>
      </c>
      <c r="G12" s="15" t="str">
        <f aca="false">IF(F12="","",$B$3*F12)</f>
        <v/>
      </c>
      <c r="H12" s="15" t="str">
        <f aca="false">IF(OR(G12="",G11=""),"",G12-G11+E11)</f>
        <v/>
      </c>
      <c r="I12" s="15" t="str">
        <f aca="false">""</f>
        <v/>
      </c>
      <c r="J12" s="15" t="str">
        <f aca="false">IF(I12="","",$B$3*I12)</f>
        <v/>
      </c>
      <c r="K12" s="15" t="str">
        <f aca="false">IF(OR(J12="",J11=""),"",J12-J11+H11)</f>
        <v/>
      </c>
      <c r="L12" s="15" t="str">
        <f aca="false">""</f>
        <v/>
      </c>
      <c r="M12" s="15" t="str">
        <f aca="false">IF(L12="","",$B$3*L12)</f>
        <v/>
      </c>
      <c r="N12" s="15" t="str">
        <f aca="false">IF(OR(M12="",M11=""),"",M12-M11+K11)</f>
        <v/>
      </c>
    </row>
    <row r="13" customFormat="false" ht="15" hidden="false" customHeight="false" outlineLevel="0" collapsed="false">
      <c r="A13" s="6" t="n">
        <v>5</v>
      </c>
      <c r="B13" s="11" t="n">
        <v>100</v>
      </c>
      <c r="C13" s="15" t="str">
        <f aca="false">""</f>
        <v/>
      </c>
      <c r="D13" s="15" t="str">
        <f aca="false">IF(C13="","",$B$3*C13)</f>
        <v/>
      </c>
      <c r="E13" s="15" t="str">
        <f aca="false">IF(OR(D13="",D12=""),"",D13-D12+B12)</f>
        <v/>
      </c>
      <c r="F13" s="15" t="str">
        <f aca="false">""</f>
        <v/>
      </c>
      <c r="G13" s="15" t="str">
        <f aca="false">IF(F13="","",$B$3*F13)</f>
        <v/>
      </c>
      <c r="H13" s="15" t="str">
        <f aca="false">IF(OR(G13="",G12=""),"",G13-G12+E12)</f>
        <v/>
      </c>
      <c r="I13" s="15" t="str">
        <f aca="false">""</f>
        <v/>
      </c>
      <c r="J13" s="15" t="str">
        <f aca="false">IF(I13="","",$B$3*I13)</f>
        <v/>
      </c>
      <c r="K13" s="15" t="str">
        <f aca="false">IF(OR(J13="",J12=""),"",J13-J12+H12)</f>
        <v/>
      </c>
      <c r="L13" s="15" t="str">
        <f aca="false">""</f>
        <v/>
      </c>
      <c r="M13" s="15" t="str">
        <f aca="false">IF(L13="","",$B$3*L13)</f>
        <v/>
      </c>
      <c r="N13" s="15" t="str">
        <f aca="false">IF(OR(M13="",M12=""),"",M13-M12+K12)</f>
        <v/>
      </c>
    </row>
    <row r="14" customFormat="false" ht="15" hidden="false" customHeight="false" outlineLevel="0" collapsed="false">
      <c r="A14" s="6" t="n">
        <v>6</v>
      </c>
      <c r="B14" s="11" t="n">
        <v>92</v>
      </c>
      <c r="C14" s="15" t="str">
        <f aca="false">""</f>
        <v/>
      </c>
      <c r="D14" s="15" t="str">
        <f aca="false">IF(C14="","",$B$3*C14)</f>
        <v/>
      </c>
      <c r="E14" s="15" t="str">
        <f aca="false">IF(OR(D14="",D13=""),"",D14-D13+B13)</f>
        <v/>
      </c>
      <c r="F14" s="15" t="str">
        <f aca="false">""</f>
        <v/>
      </c>
      <c r="G14" s="15" t="str">
        <f aca="false">IF(F14="","",$B$3*F14)</f>
        <v/>
      </c>
      <c r="H14" s="15" t="str">
        <f aca="false">IF(OR(G14="",G13=""),"",G14-G13+E13)</f>
        <v/>
      </c>
      <c r="I14" s="15" t="str">
        <f aca="false">""</f>
        <v/>
      </c>
      <c r="J14" s="15" t="str">
        <f aca="false">IF(I14="","",$B$3*I14)</f>
        <v/>
      </c>
      <c r="K14" s="15" t="str">
        <f aca="false">IF(OR(J14="",J13=""),"",J14-J13+H13)</f>
        <v/>
      </c>
      <c r="L14" s="15" t="str">
        <f aca="false">""</f>
        <v/>
      </c>
      <c r="M14" s="15" t="str">
        <f aca="false">IF(L14="","",$B$3*L14)</f>
        <v/>
      </c>
      <c r="N14" s="15" t="str">
        <f aca="false">IF(OR(M14="",M13=""),"",M14-M13+K13)</f>
        <v/>
      </c>
    </row>
    <row r="15" customFormat="false" ht="15" hidden="false" customHeight="false" outlineLevel="0" collapsed="false">
      <c r="A15" s="6" t="n">
        <v>7</v>
      </c>
      <c r="B15" s="11" t="n">
        <v>92</v>
      </c>
      <c r="C15" s="15" t="n">
        <f aca="false">IF(COUNT(B9:B14)=6,AVERAGE(B9:B14),"")</f>
        <v>101.666666666667</v>
      </c>
      <c r="D15" s="15" t="n">
        <f aca="false">IF(C15="","",$B$3*C15)</f>
        <v>203.333333333333</v>
      </c>
      <c r="E15" s="15" t="str">
        <f aca="false">IF(OR(D15="",D14=""),"",D15-D14+B14)</f>
        <v/>
      </c>
      <c r="F15" s="15" t="str">
        <f aca="false">IF(COUNT(E9:E14)=6,AVERAGE(E9:E14),"")</f>
        <v/>
      </c>
      <c r="G15" s="15" t="str">
        <f aca="false">IF(F15="","",$B$3*F15)</f>
        <v/>
      </c>
      <c r="H15" s="15" t="str">
        <f aca="false">IF(OR(G15="",G14=""),"",G15-G14+E14)</f>
        <v/>
      </c>
      <c r="I15" s="15" t="str">
        <f aca="false">IF(COUNT(H9:H14)=6,AVERAGE(H9:H14),"")</f>
        <v/>
      </c>
      <c r="J15" s="15" t="str">
        <f aca="false">IF(I15="","",$B$3*I15)</f>
        <v/>
      </c>
      <c r="K15" s="15" t="str">
        <f aca="false">IF(OR(J15="",J14=""),"",J15-J14+H14)</f>
        <v/>
      </c>
      <c r="L15" s="15" t="str">
        <f aca="false">IF(COUNT(K9:K14)=6,AVERAGE(K9:K14),"")</f>
        <v/>
      </c>
      <c r="M15" s="15" t="str">
        <f aca="false">IF(L15="","",$B$3*L15)</f>
        <v/>
      </c>
      <c r="N15" s="15" t="str">
        <f aca="false">IF(OR(M15="",M14=""),"",M15-M14+K14)</f>
        <v/>
      </c>
    </row>
    <row r="16" customFormat="false" ht="15" hidden="false" customHeight="false" outlineLevel="0" collapsed="false">
      <c r="A16" s="6" t="n">
        <v>8</v>
      </c>
      <c r="B16" s="11" t="n">
        <v>89</v>
      </c>
      <c r="C16" s="15" t="n">
        <f aca="false">IF(COUNT(B10:B15)=6,AVERAGE(B10:B15),"")</f>
        <v>99.6666666666667</v>
      </c>
      <c r="D16" s="15" t="n">
        <f aca="false">IF(C16="","",$B$3*C16)</f>
        <v>199.333333333333</v>
      </c>
      <c r="E16" s="15" t="n">
        <f aca="false">IF(OR(D16="",D15=""),"",D16-D15+B15)</f>
        <v>88</v>
      </c>
      <c r="F16" s="15" t="str">
        <f aca="false">IF(COUNT(E10:E15)=6,AVERAGE(E10:E15),"")</f>
        <v/>
      </c>
      <c r="G16" s="15" t="str">
        <f aca="false">IF(F16="","",$B$3*F16)</f>
        <v/>
      </c>
      <c r="H16" s="15" t="str">
        <f aca="false">IF(OR(G16="",G15=""),"",G16-G15+E15)</f>
        <v/>
      </c>
      <c r="I16" s="15" t="str">
        <f aca="false">IF(COUNT(H10:H15)=6,AVERAGE(H10:H15),"")</f>
        <v/>
      </c>
      <c r="J16" s="15" t="str">
        <f aca="false">IF(I16="","",$B$3*I16)</f>
        <v/>
      </c>
      <c r="K16" s="15" t="str">
        <f aca="false">IF(OR(J16="",J15=""),"",J16-J15+H15)</f>
        <v/>
      </c>
      <c r="L16" s="15" t="str">
        <f aca="false">IF(COUNT(K10:K15)=6,AVERAGE(K10:K15),"")</f>
        <v/>
      </c>
      <c r="M16" s="15" t="str">
        <f aca="false">IF(L16="","",$B$3*L16)</f>
        <v/>
      </c>
      <c r="N16" s="15" t="str">
        <f aca="false">IF(OR(M16="",M15=""),"",M16-M15+K15)</f>
        <v/>
      </c>
    </row>
    <row r="17" customFormat="false" ht="15" hidden="false" customHeight="false" outlineLevel="0" collapsed="false">
      <c r="A17" s="6" t="n">
        <v>9</v>
      </c>
      <c r="B17" s="11" t="n">
        <v>98</v>
      </c>
      <c r="C17" s="15" t="n">
        <f aca="false">IF(COUNT(B11:B16)=6,AVERAGE(B11:B16),"")</f>
        <v>95.3333333333333</v>
      </c>
      <c r="D17" s="15" t="n">
        <f aca="false">IF(C17="","",$B$3*C17)</f>
        <v>190.666666666667</v>
      </c>
      <c r="E17" s="15" t="n">
        <f aca="false">IF(OR(D17="",D16=""),"",D17-D16+B16)</f>
        <v>80.3333333333333</v>
      </c>
      <c r="F17" s="15" t="str">
        <f aca="false">IF(COUNT(E11:E16)=6,AVERAGE(E11:E16),"")</f>
        <v/>
      </c>
      <c r="G17" s="15" t="str">
        <f aca="false">IF(F17="","",$B$3*F17)</f>
        <v/>
      </c>
      <c r="H17" s="15" t="str">
        <f aca="false">IF(OR(G17="",G16=""),"",G17-G16+E16)</f>
        <v/>
      </c>
      <c r="I17" s="15" t="str">
        <f aca="false">IF(COUNT(H11:H16)=6,AVERAGE(H11:H16),"")</f>
        <v/>
      </c>
      <c r="J17" s="15" t="str">
        <f aca="false">IF(I17="","",$B$3*I17)</f>
        <v/>
      </c>
      <c r="K17" s="15" t="str">
        <f aca="false">IF(OR(J17="",J16=""),"",J17-J16+H16)</f>
        <v/>
      </c>
      <c r="L17" s="15" t="str">
        <f aca="false">IF(COUNT(K11:K16)=6,AVERAGE(K11:K16),"")</f>
        <v/>
      </c>
      <c r="M17" s="15" t="str">
        <f aca="false">IF(L17="","",$B$3*L17)</f>
        <v/>
      </c>
      <c r="N17" s="15" t="str">
        <f aca="false">IF(OR(M17="",M16=""),"",M17-M16+K16)</f>
        <v/>
      </c>
    </row>
    <row r="18" customFormat="false" ht="15" hidden="false" customHeight="false" outlineLevel="0" collapsed="false">
      <c r="A18" s="6" t="n">
        <v>10</v>
      </c>
      <c r="B18" s="11" t="n">
        <v>108</v>
      </c>
      <c r="C18" s="15" t="n">
        <f aca="false">IF(COUNT(B12:B17)=6,AVERAGE(B12:B17),"")</f>
        <v>98</v>
      </c>
      <c r="D18" s="15" t="n">
        <f aca="false">IF(C18="","",$B$3*C18)</f>
        <v>196</v>
      </c>
      <c r="E18" s="15" t="n">
        <f aca="false">IF(OR(D18="",D17=""),"",D18-D17+B17)</f>
        <v>103.333333333333</v>
      </c>
      <c r="F18" s="15" t="str">
        <f aca="false">IF(COUNT(E12:E17)=6,AVERAGE(E12:E17),"")</f>
        <v/>
      </c>
      <c r="G18" s="15" t="str">
        <f aca="false">IF(F18="","",$B$3*F18)</f>
        <v/>
      </c>
      <c r="H18" s="15" t="str">
        <f aca="false">IF(OR(G18="",G17=""),"",G18-G17+E17)</f>
        <v/>
      </c>
      <c r="I18" s="15" t="str">
        <f aca="false">IF(COUNT(H12:H17)=6,AVERAGE(H12:H17),"")</f>
        <v/>
      </c>
      <c r="J18" s="15" t="str">
        <f aca="false">IF(I18="","",$B$3*I18)</f>
        <v/>
      </c>
      <c r="K18" s="15" t="str">
        <f aca="false">IF(OR(J18="",J17=""),"",J18-J17+H17)</f>
        <v/>
      </c>
      <c r="L18" s="15" t="str">
        <f aca="false">IF(COUNT(K12:K17)=6,AVERAGE(K12:K17),"")</f>
        <v/>
      </c>
      <c r="M18" s="15" t="str">
        <f aca="false">IF(L18="","",$B$3*L18)</f>
        <v/>
      </c>
      <c r="N18" s="15" t="str">
        <f aca="false">IF(OR(M18="",M17=""),"",M18-M17+K17)</f>
        <v/>
      </c>
    </row>
    <row r="19" customFormat="false" ht="15" hidden="false" customHeight="false" outlineLevel="0" collapsed="false">
      <c r="A19" s="6" t="n">
        <v>11</v>
      </c>
      <c r="B19" s="11" t="n">
        <v>106</v>
      </c>
      <c r="C19" s="15" t="n">
        <f aca="false">IF(COUNT(B13:B18)=6,AVERAGE(B13:B18),"")</f>
        <v>96.5</v>
      </c>
      <c r="D19" s="15" t="n">
        <f aca="false">IF(C19="","",$B$3*C19)</f>
        <v>193</v>
      </c>
      <c r="E19" s="15" t="n">
        <f aca="false">IF(OR(D19="",D18=""),"",D19-D18+B18)</f>
        <v>105</v>
      </c>
      <c r="F19" s="15" t="str">
        <f aca="false">IF(COUNT(E13:E18)=6,AVERAGE(E13:E18),"")</f>
        <v/>
      </c>
      <c r="G19" s="15" t="str">
        <f aca="false">IF(F19="","",$B$3*F19)</f>
        <v/>
      </c>
      <c r="H19" s="15" t="str">
        <f aca="false">IF(OR(G19="",G18=""),"",G19-G18+E18)</f>
        <v/>
      </c>
      <c r="I19" s="15" t="str">
        <f aca="false">IF(COUNT(H13:H18)=6,AVERAGE(H13:H18),"")</f>
        <v/>
      </c>
      <c r="J19" s="15" t="str">
        <f aca="false">IF(I19="","",$B$3*I19)</f>
        <v/>
      </c>
      <c r="K19" s="15" t="str">
        <f aca="false">IF(OR(J19="",J18=""),"",J19-J18+H18)</f>
        <v/>
      </c>
      <c r="L19" s="15" t="str">
        <f aca="false">IF(COUNT(K13:K18)=6,AVERAGE(K13:K18),"")</f>
        <v/>
      </c>
      <c r="M19" s="15" t="str">
        <f aca="false">IF(L19="","",$B$3*L19)</f>
        <v/>
      </c>
      <c r="N19" s="15" t="str">
        <f aca="false">IF(OR(M19="",M18=""),"",M19-M18+K18)</f>
        <v/>
      </c>
    </row>
    <row r="20" customFormat="false" ht="15" hidden="false" customHeight="false" outlineLevel="0" collapsed="false">
      <c r="A20" s="6" t="n">
        <v>12</v>
      </c>
      <c r="B20" s="11" t="n">
        <v>106</v>
      </c>
      <c r="C20" s="15" t="n">
        <f aca="false">IF(COUNT(B14:B19)=6,AVERAGE(B14:B19),"")</f>
        <v>97.5</v>
      </c>
      <c r="D20" s="15" t="n">
        <f aca="false">IF(C20="","",$B$3*C20)</f>
        <v>195</v>
      </c>
      <c r="E20" s="15" t="n">
        <f aca="false">IF(OR(D20="",D19=""),"",D20-D19+B19)</f>
        <v>108</v>
      </c>
      <c r="F20" s="15" t="str">
        <f aca="false">IF(COUNT(E14:E19)=6,AVERAGE(E14:E19),"")</f>
        <v/>
      </c>
      <c r="G20" s="15" t="str">
        <f aca="false">IF(F20="","",$B$3*F20)</f>
        <v/>
      </c>
      <c r="H20" s="15" t="str">
        <f aca="false">IF(OR(G20="",G19=""),"",G20-G19+E19)</f>
        <v/>
      </c>
      <c r="I20" s="15" t="str">
        <f aca="false">IF(COUNT(H14:H19)=6,AVERAGE(H14:H19),"")</f>
        <v/>
      </c>
      <c r="J20" s="15" t="str">
        <f aca="false">IF(I20="","",$B$3*I20)</f>
        <v/>
      </c>
      <c r="K20" s="15" t="str">
        <f aca="false">IF(OR(J20="",J19=""),"",J20-J19+H19)</f>
        <v/>
      </c>
      <c r="L20" s="15" t="str">
        <f aca="false">IF(COUNT(K14:K19)=6,AVERAGE(K14:K19),"")</f>
        <v/>
      </c>
      <c r="M20" s="15" t="str">
        <f aca="false">IF(L20="","",$B$3*L20)</f>
        <v/>
      </c>
      <c r="N20" s="15" t="str">
        <f aca="false">IF(OR(M20="",M19=""),"",M20-M19+K19)</f>
        <v/>
      </c>
    </row>
    <row r="21" customFormat="false" ht="15" hidden="false" customHeight="false" outlineLevel="0" collapsed="false">
      <c r="A21" s="6" t="n">
        <v>13</v>
      </c>
      <c r="B21" s="11" t="n">
        <v>83</v>
      </c>
      <c r="C21" s="15" t="n">
        <f aca="false">IF(COUNT(B15:B20)=6,AVERAGE(B15:B20),"")</f>
        <v>99.8333333333333</v>
      </c>
      <c r="D21" s="15" t="n">
        <f aca="false">IF(C21="","",$B$3*C21)</f>
        <v>199.666666666667</v>
      </c>
      <c r="E21" s="15" t="n">
        <f aca="false">IF(OR(D21="",D20=""),"",D21-D20+B20)</f>
        <v>110.666666666667</v>
      </c>
      <c r="F21" s="15" t="str">
        <f aca="false">IF(COUNT(E15:E20)=6,AVERAGE(E15:E20),"")</f>
        <v/>
      </c>
      <c r="G21" s="15" t="str">
        <f aca="false">IF(F21="","",$B$3*F21)</f>
        <v/>
      </c>
      <c r="H21" s="15" t="str">
        <f aca="false">IF(OR(G21="",G20=""),"",G21-G20+E20)</f>
        <v/>
      </c>
      <c r="I21" s="15" t="str">
        <f aca="false">IF(COUNT(H15:H20)=6,AVERAGE(H15:H20),"")</f>
        <v/>
      </c>
      <c r="J21" s="15" t="str">
        <f aca="false">IF(I21="","",$B$3*I21)</f>
        <v/>
      </c>
      <c r="K21" s="15" t="str">
        <f aca="false">IF(OR(J21="",J20=""),"",J21-J20+H20)</f>
        <v/>
      </c>
      <c r="L21" s="15" t="str">
        <f aca="false">IF(COUNT(K15:K20)=6,AVERAGE(K15:K20),"")</f>
        <v/>
      </c>
      <c r="M21" s="15" t="str">
        <f aca="false">IF(L21="","",$B$3*L21)</f>
        <v/>
      </c>
      <c r="N21" s="15" t="str">
        <f aca="false">IF(OR(M21="",M20=""),"",M21-M20+K20)</f>
        <v/>
      </c>
    </row>
    <row r="22" customFormat="false" ht="15" hidden="false" customHeight="false" outlineLevel="0" collapsed="false">
      <c r="A22" s="6" t="n">
        <v>14</v>
      </c>
      <c r="B22" s="11" t="n">
        <v>84</v>
      </c>
      <c r="C22" s="15" t="n">
        <f aca="false">IF(COUNT(B16:B21)=6,AVERAGE(B16:B21),"")</f>
        <v>98.3333333333333</v>
      </c>
      <c r="D22" s="15" t="n">
        <f aca="false">IF(C22="","",$B$3*C22)</f>
        <v>196.666666666667</v>
      </c>
      <c r="E22" s="15" t="n">
        <f aca="false">IF(OR(D22="",D21=""),"",D22-D21+B21)</f>
        <v>80</v>
      </c>
      <c r="F22" s="15" t="n">
        <f aca="false">IF(COUNT(E16:E21)=6,AVERAGE(E16:E21),"")</f>
        <v>99.2222222222222</v>
      </c>
      <c r="G22" s="15" t="n">
        <f aca="false">IF(F22="","",$B$3*F22)</f>
        <v>198.444444444444</v>
      </c>
      <c r="H22" s="15" t="str">
        <f aca="false">IF(OR(G22="",G21=""),"",G22-G21+E21)</f>
        <v/>
      </c>
      <c r="I22" s="15" t="str">
        <f aca="false">IF(COUNT(H16:H21)=6,AVERAGE(H16:H21),"")</f>
        <v/>
      </c>
      <c r="J22" s="15" t="str">
        <f aca="false">IF(I22="","",$B$3*I22)</f>
        <v/>
      </c>
      <c r="K22" s="15" t="str">
        <f aca="false">IF(OR(J22="",J21=""),"",J22-J21+H21)</f>
        <v/>
      </c>
      <c r="L22" s="15" t="str">
        <f aca="false">IF(COUNT(K16:K21)=6,AVERAGE(K16:K21),"")</f>
        <v/>
      </c>
      <c r="M22" s="15" t="str">
        <f aca="false">IF(L22="","",$B$3*L22)</f>
        <v/>
      </c>
      <c r="N22" s="15" t="str">
        <f aca="false">IF(OR(M22="",M21=""),"",M22-M21+K21)</f>
        <v/>
      </c>
    </row>
    <row r="23" customFormat="false" ht="15" hidden="false" customHeight="false" outlineLevel="0" collapsed="false">
      <c r="A23" s="6" t="n">
        <v>15</v>
      </c>
      <c r="B23" s="11" t="n">
        <v>116</v>
      </c>
      <c r="C23" s="15" t="n">
        <f aca="false">IF(COUNT(B17:B22)=6,AVERAGE(B17:B22),"")</f>
        <v>97.5</v>
      </c>
      <c r="D23" s="15" t="n">
        <f aca="false">IF(C23="","",$B$3*C23)</f>
        <v>195</v>
      </c>
      <c r="E23" s="15" t="n">
        <f aca="false">IF(OR(D23="",D22=""),"",D23-D22+B22)</f>
        <v>82.3333333333333</v>
      </c>
      <c r="F23" s="15" t="n">
        <f aca="false">IF(COUNT(E17:E22)=6,AVERAGE(E17:E22),"")</f>
        <v>97.8888888888889</v>
      </c>
      <c r="G23" s="15" t="n">
        <f aca="false">IF(F23="","",$B$3*F23)</f>
        <v>195.777777777778</v>
      </c>
      <c r="H23" s="15" t="n">
        <f aca="false">IF(OR(G23="",G22=""),"",G23-G22+E22)</f>
        <v>77.3333333333333</v>
      </c>
      <c r="I23" s="15" t="str">
        <f aca="false">IF(COUNT(H17:H22)=6,AVERAGE(H17:H22),"")</f>
        <v/>
      </c>
      <c r="J23" s="15" t="str">
        <f aca="false">IF(I23="","",$B$3*I23)</f>
        <v/>
      </c>
      <c r="K23" s="15" t="str">
        <f aca="false">IF(OR(J23="",J22=""),"",J23-J22+H22)</f>
        <v/>
      </c>
      <c r="L23" s="15" t="str">
        <f aca="false">IF(COUNT(K17:K22)=6,AVERAGE(K17:K22),"")</f>
        <v/>
      </c>
      <c r="M23" s="15" t="str">
        <f aca="false">IF(L23="","",$B$3*L23)</f>
        <v/>
      </c>
      <c r="N23" s="15" t="str">
        <f aca="false">IF(OR(M23="",M22=""),"",M23-M22+K22)</f>
        <v/>
      </c>
    </row>
    <row r="24" customFormat="false" ht="15" hidden="false" customHeight="false" outlineLevel="0" collapsed="false">
      <c r="A24" s="6" t="n">
        <v>16</v>
      </c>
      <c r="B24" s="11" t="n">
        <v>110</v>
      </c>
      <c r="C24" s="15" t="n">
        <f aca="false">IF(COUNT(B18:B23)=6,AVERAGE(B18:B23),"")</f>
        <v>100.5</v>
      </c>
      <c r="D24" s="15" t="n">
        <f aca="false">IF(C24="","",$B$3*C24)</f>
        <v>201</v>
      </c>
      <c r="E24" s="15" t="n">
        <f aca="false">IF(OR(D24="",D23=""),"",D24-D23+B23)</f>
        <v>122</v>
      </c>
      <c r="F24" s="15" t="n">
        <f aca="false">IF(COUNT(E18:E23)=6,AVERAGE(E18:E23),"")</f>
        <v>98.2222222222222</v>
      </c>
      <c r="G24" s="15" t="n">
        <f aca="false">IF(F24="","",$B$3*F24)</f>
        <v>196.444444444444</v>
      </c>
      <c r="H24" s="15" t="n">
        <f aca="false">IF(OR(G24="",G23=""),"",G24-G23+E23)</f>
        <v>83.0000000000001</v>
      </c>
      <c r="I24" s="15" t="str">
        <f aca="false">IF(COUNT(H18:H23)=6,AVERAGE(H18:H23),"")</f>
        <v/>
      </c>
      <c r="J24" s="15" t="str">
        <f aca="false">IF(I24="","",$B$3*I24)</f>
        <v/>
      </c>
      <c r="K24" s="15" t="str">
        <f aca="false">IF(OR(J24="",J23=""),"",J24-J23+H23)</f>
        <v/>
      </c>
      <c r="L24" s="15" t="str">
        <f aca="false">IF(COUNT(K18:K23)=6,AVERAGE(K18:K23),"")</f>
        <v/>
      </c>
      <c r="M24" s="15" t="str">
        <f aca="false">IF(L24="","",$B$3*L24)</f>
        <v/>
      </c>
      <c r="N24" s="15" t="str">
        <f aca="false">IF(OR(M24="",M23=""),"",M24-M23+K23)</f>
        <v/>
      </c>
    </row>
    <row r="25" customFormat="false" ht="15" hidden="false" customHeight="false" outlineLevel="0" collapsed="false">
      <c r="A25" s="6" t="n">
        <v>17</v>
      </c>
      <c r="B25" s="11" t="n">
        <v>122</v>
      </c>
      <c r="C25" s="15" t="n">
        <f aca="false">IF(COUNT(B19:B24)=6,AVERAGE(B19:B24),"")</f>
        <v>100.833333333333</v>
      </c>
      <c r="D25" s="15" t="n">
        <f aca="false">IF(C25="","",$B$3*C25)</f>
        <v>201.666666666667</v>
      </c>
      <c r="E25" s="15" t="n">
        <f aca="false">IF(OR(D25="",D24=""),"",D25-D24+B24)</f>
        <v>110.666666666667</v>
      </c>
      <c r="F25" s="15" t="n">
        <f aca="false">IF(COUNT(E19:E24)=6,AVERAGE(E19:E24),"")</f>
        <v>101.333333333333</v>
      </c>
      <c r="G25" s="15" t="n">
        <f aca="false">IF(F25="","",$B$3*F25)</f>
        <v>202.666666666667</v>
      </c>
      <c r="H25" s="15" t="n">
        <f aca="false">IF(OR(G25="",G24=""),"",G25-G24+E24)</f>
        <v>128.222222222222</v>
      </c>
      <c r="I25" s="15" t="str">
        <f aca="false">IF(COUNT(H19:H24)=6,AVERAGE(H19:H24),"")</f>
        <v/>
      </c>
      <c r="J25" s="15" t="str">
        <f aca="false">IF(I25="","",$B$3*I25)</f>
        <v/>
      </c>
      <c r="K25" s="15" t="str">
        <f aca="false">IF(OR(J25="",J24=""),"",J25-J24+H24)</f>
        <v/>
      </c>
      <c r="L25" s="15" t="str">
        <f aca="false">IF(COUNT(K19:K24)=6,AVERAGE(K19:K24),"")</f>
        <v/>
      </c>
      <c r="M25" s="15" t="str">
        <f aca="false">IF(L25="","",$B$3*L25)</f>
        <v/>
      </c>
      <c r="N25" s="15" t="str">
        <f aca="false">IF(OR(M25="",M24=""),"",M25-M24+K24)</f>
        <v/>
      </c>
    </row>
    <row r="26" customFormat="false" ht="15" hidden="false" customHeight="false" outlineLevel="0" collapsed="false">
      <c r="A26" s="6" t="n">
        <v>18</v>
      </c>
      <c r="B26" s="11" t="n">
        <v>112</v>
      </c>
      <c r="C26" s="15" t="n">
        <f aca="false">IF(COUNT(B20:B25)=6,AVERAGE(B20:B25),"")</f>
        <v>103.5</v>
      </c>
      <c r="D26" s="15" t="n">
        <f aca="false">IF(C26="","",$B$3*C26)</f>
        <v>207</v>
      </c>
      <c r="E26" s="15" t="n">
        <f aca="false">IF(OR(D26="",D25=""),"",D26-D25+B25)</f>
        <v>127.333333333333</v>
      </c>
      <c r="F26" s="15" t="n">
        <f aca="false">IF(COUNT(E20:E25)=6,AVERAGE(E20:E25),"")</f>
        <v>102.277777777778</v>
      </c>
      <c r="G26" s="15" t="n">
        <f aca="false">IF(F26="","",$B$3*F26)</f>
        <v>204.555555555556</v>
      </c>
      <c r="H26" s="15" t="n">
        <f aca="false">IF(OR(G26="",G25=""),"",G26-G25+E25)</f>
        <v>112.555555555556</v>
      </c>
      <c r="I26" s="15" t="str">
        <f aca="false">IF(COUNT(H20:H25)=6,AVERAGE(H20:H25),"")</f>
        <v/>
      </c>
      <c r="J26" s="15" t="str">
        <f aca="false">IF(I26="","",$B$3*I26)</f>
        <v/>
      </c>
      <c r="K26" s="15" t="str">
        <f aca="false">IF(OR(J26="",J25=""),"",J26-J25+H25)</f>
        <v/>
      </c>
      <c r="L26" s="15" t="str">
        <f aca="false">IF(COUNT(K20:K25)=6,AVERAGE(K20:K25),"")</f>
        <v/>
      </c>
      <c r="M26" s="15" t="str">
        <f aca="false">IF(L26="","",$B$3*L26)</f>
        <v/>
      </c>
      <c r="N26" s="15" t="str">
        <f aca="false">IF(OR(M26="",M25=""),"",M26-M25+K25)</f>
        <v/>
      </c>
    </row>
    <row r="27" customFormat="false" ht="15" hidden="false" customHeight="false" outlineLevel="0" collapsed="false">
      <c r="A27" s="6" t="n">
        <v>19</v>
      </c>
      <c r="B27" s="11" t="n">
        <v>90</v>
      </c>
      <c r="C27" s="15" t="n">
        <f aca="false">IF(COUNT(B21:B26)=6,AVERAGE(B21:B26),"")</f>
        <v>104.5</v>
      </c>
      <c r="D27" s="15" t="n">
        <f aca="false">IF(C27="","",$B$3*C27)</f>
        <v>209</v>
      </c>
      <c r="E27" s="15" t="n">
        <f aca="false">IF(OR(D27="",D26=""),"",D27-D26+B26)</f>
        <v>114</v>
      </c>
      <c r="F27" s="15" t="n">
        <f aca="false">IF(COUNT(E21:E26)=6,AVERAGE(E21:E26),"")</f>
        <v>105.5</v>
      </c>
      <c r="G27" s="15" t="n">
        <f aca="false">IF(F27="","",$B$3*F27)</f>
        <v>211</v>
      </c>
      <c r="H27" s="15" t="n">
        <f aca="false">IF(OR(G27="",G26=""),"",G27-G26+E26)</f>
        <v>133.777777777778</v>
      </c>
      <c r="I27" s="15" t="str">
        <f aca="false">IF(COUNT(H21:H26)=6,AVERAGE(H21:H26),"")</f>
        <v/>
      </c>
      <c r="J27" s="15" t="str">
        <f aca="false">IF(I27="","",$B$3*I27)</f>
        <v/>
      </c>
      <c r="K27" s="15" t="str">
        <f aca="false">IF(OR(J27="",J26=""),"",J27-J26+H26)</f>
        <v/>
      </c>
      <c r="L27" s="15" t="str">
        <f aca="false">IF(COUNT(K21:K26)=6,AVERAGE(K21:K26),"")</f>
        <v/>
      </c>
      <c r="M27" s="15" t="str">
        <f aca="false">IF(L27="","",$B$3*L27)</f>
        <v/>
      </c>
      <c r="N27" s="15" t="str">
        <f aca="false">IF(OR(M27="",M26=""),"",M27-M26+K26)</f>
        <v/>
      </c>
    </row>
    <row r="28" customFormat="false" ht="15" hidden="false" customHeight="false" outlineLevel="0" collapsed="false">
      <c r="A28" s="6" t="n">
        <v>20</v>
      </c>
      <c r="B28" s="11" t="n">
        <v>113</v>
      </c>
      <c r="C28" s="15" t="n">
        <f aca="false">IF(COUNT(B22:B27)=6,AVERAGE(B22:B27),"")</f>
        <v>105.666666666667</v>
      </c>
      <c r="D28" s="15" t="n">
        <f aca="false">IF(C28="","",$B$3*C28)</f>
        <v>211.333333333333</v>
      </c>
      <c r="E28" s="15" t="n">
        <f aca="false">IF(OR(D28="",D27=""),"",D28-D27+B27)</f>
        <v>92.3333333333333</v>
      </c>
      <c r="F28" s="15" t="n">
        <f aca="false">IF(COUNT(E22:E27)=6,AVERAGE(E22:E27),"")</f>
        <v>106.055555555556</v>
      </c>
      <c r="G28" s="15" t="n">
        <f aca="false">IF(F28="","",$B$3*F28)</f>
        <v>212.111111111111</v>
      </c>
      <c r="H28" s="15" t="n">
        <f aca="false">IF(OR(G28="",G27=""),"",G28-G27+E27)</f>
        <v>115.111111111111</v>
      </c>
      <c r="I28" s="15" t="str">
        <f aca="false">IF(COUNT(H22:H27)=6,AVERAGE(H22:H27),"")</f>
        <v/>
      </c>
      <c r="J28" s="15" t="str">
        <f aca="false">IF(I28="","",$B$3*I28)</f>
        <v/>
      </c>
      <c r="K28" s="15" t="str">
        <f aca="false">IF(OR(J28="",J27=""),"",J28-J27+H27)</f>
        <v/>
      </c>
      <c r="L28" s="15" t="str">
        <f aca="false">IF(COUNT(K22:K27)=6,AVERAGE(K22:K27),"")</f>
        <v/>
      </c>
      <c r="M28" s="15" t="str">
        <f aca="false">IF(L28="","",$B$3*L28)</f>
        <v/>
      </c>
      <c r="N28" s="15" t="str">
        <f aca="false">IF(OR(M28="",M27=""),"",M28-M27+K27)</f>
        <v/>
      </c>
    </row>
    <row r="29" customFormat="false" ht="15" hidden="false" customHeight="false" outlineLevel="0" collapsed="false">
      <c r="A29" s="6" t="n">
        <v>21</v>
      </c>
      <c r="B29" s="11" t="n">
        <v>106</v>
      </c>
      <c r="C29" s="15" t="n">
        <f aca="false">IF(COUNT(B23:B28)=6,AVERAGE(B23:B28),"")</f>
        <v>110.5</v>
      </c>
      <c r="D29" s="15" t="n">
        <f aca="false">IF(C29="","",$B$3*C29)</f>
        <v>221</v>
      </c>
      <c r="E29" s="15" t="n">
        <f aca="false">IF(OR(D29="",D28=""),"",D29-D28+B28)</f>
        <v>122.666666666667</v>
      </c>
      <c r="F29" s="15" t="n">
        <f aca="false">IF(COUNT(E23:E28)=6,AVERAGE(E23:E28),"")</f>
        <v>108.111111111111</v>
      </c>
      <c r="G29" s="15" t="n">
        <f aca="false">IF(F29="","",$B$3*F29)</f>
        <v>216.222222222222</v>
      </c>
      <c r="H29" s="15" t="n">
        <f aca="false">IF(OR(G29="",G28=""),"",G29-G28+E28)</f>
        <v>96.4444444444445</v>
      </c>
      <c r="I29" s="15" t="n">
        <f aca="false">IF(COUNT(H23:H28)=6,AVERAGE(H23:H28),"")</f>
        <v>108.333333333333</v>
      </c>
      <c r="J29" s="15" t="n">
        <f aca="false">IF(I29="","",$B$3*I29)</f>
        <v>216.666666666667</v>
      </c>
      <c r="K29" s="15" t="str">
        <f aca="false">IF(OR(J29="",J28=""),"",J29-J28+H28)</f>
        <v/>
      </c>
      <c r="L29" s="15" t="str">
        <f aca="false">IF(COUNT(K23:K28)=6,AVERAGE(K23:K28),"")</f>
        <v/>
      </c>
      <c r="M29" s="15" t="str">
        <f aca="false">IF(L29="","",$B$3*L29)</f>
        <v/>
      </c>
      <c r="N29" s="15" t="str">
        <f aca="false">IF(OR(M29="",M28=""),"",M29-M28+K28)</f>
        <v/>
      </c>
    </row>
    <row r="30" customFormat="false" ht="15" hidden="false" customHeight="false" outlineLevel="0" collapsed="false">
      <c r="A30" s="6" t="n">
        <v>22</v>
      </c>
      <c r="B30" s="11" t="n">
        <v>102</v>
      </c>
      <c r="C30" s="15" t="n">
        <f aca="false">IF(COUNT(B24:B29)=6,AVERAGE(B24:B29),"")</f>
        <v>108.833333333333</v>
      </c>
      <c r="D30" s="15" t="n">
        <f aca="false">IF(C30="","",$B$3*C30)</f>
        <v>217.666666666667</v>
      </c>
      <c r="E30" s="15" t="n">
        <f aca="false">IF(OR(D30="",D29=""),"",D30-D29+B29)</f>
        <v>102.666666666667</v>
      </c>
      <c r="F30" s="15" t="n">
        <f aca="false">IF(COUNT(E24:E29)=6,AVERAGE(E24:E29),"")</f>
        <v>114.833333333333</v>
      </c>
      <c r="G30" s="15" t="n">
        <f aca="false">IF(F30="","",$B$3*F30)</f>
        <v>229.666666666667</v>
      </c>
      <c r="H30" s="15" t="n">
        <f aca="false">IF(OR(G30="",G29=""),"",G30-G29+E29)</f>
        <v>136.111111111111</v>
      </c>
      <c r="I30" s="15" t="n">
        <f aca="false">IF(COUNT(H24:H29)=6,AVERAGE(H24:H29),"")</f>
        <v>111.518518518519</v>
      </c>
      <c r="J30" s="15" t="n">
        <f aca="false">IF(I30="","",$B$3*I30)</f>
        <v>223.037037037037</v>
      </c>
      <c r="K30" s="15" t="n">
        <f aca="false">IF(OR(J30="",J29=""),"",J30-J29+H29)</f>
        <v>102.814814814815</v>
      </c>
      <c r="L30" s="15" t="str">
        <f aca="false">IF(COUNT(K24:K29)=6,AVERAGE(K24:K29),"")</f>
        <v/>
      </c>
      <c r="M30" s="15" t="str">
        <f aca="false">IF(L30="","",$B$3*L30)</f>
        <v/>
      </c>
      <c r="N30" s="15" t="str">
        <f aca="false">IF(OR(M30="",M29=""),"",M30-M29+K29)</f>
        <v/>
      </c>
    </row>
    <row r="31" customFormat="false" ht="15" hidden="false" customHeight="false" outlineLevel="0" collapsed="false">
      <c r="A31" s="6" t="n">
        <v>23</v>
      </c>
      <c r="B31" s="11" t="n">
        <v>92</v>
      </c>
      <c r="C31" s="15" t="n">
        <f aca="false">IF(COUNT(B25:B30)=6,AVERAGE(B25:B30),"")</f>
        <v>107.5</v>
      </c>
      <c r="D31" s="15" t="n">
        <f aca="false">IF(C31="","",$B$3*C31)</f>
        <v>215</v>
      </c>
      <c r="E31" s="15" t="n">
        <f aca="false">IF(OR(D31="",D30=""),"",D31-D30+B30)</f>
        <v>99.3333333333333</v>
      </c>
      <c r="F31" s="15" t="n">
        <f aca="false">IF(COUNT(E25:E30)=6,AVERAGE(E25:E30),"")</f>
        <v>111.611111111111</v>
      </c>
      <c r="G31" s="15" t="n">
        <f aca="false">IF(F31="","",$B$3*F31)</f>
        <v>223.222222222222</v>
      </c>
      <c r="H31" s="15" t="n">
        <f aca="false">IF(OR(G31="",G30=""),"",G31-G30+E30)</f>
        <v>96.2222222222222</v>
      </c>
      <c r="I31" s="15" t="n">
        <f aca="false">IF(COUNT(H25:H30)=6,AVERAGE(H25:H30),"")</f>
        <v>120.37037037037</v>
      </c>
      <c r="J31" s="15" t="n">
        <f aca="false">IF(I31="","",$B$3*I31)</f>
        <v>240.740740740741</v>
      </c>
      <c r="K31" s="15" t="n">
        <f aca="false">IF(OR(J31="",J30=""),"",J31-J30+H30)</f>
        <v>153.814814814815</v>
      </c>
      <c r="L31" s="15" t="str">
        <f aca="false">IF(COUNT(K25:K30)=6,AVERAGE(K25:K30),"")</f>
        <v/>
      </c>
      <c r="M31" s="15" t="str">
        <f aca="false">IF(L31="","",$B$3*L31)</f>
        <v/>
      </c>
      <c r="N31" s="15" t="str">
        <f aca="false">IF(OR(M31="",M30=""),"",M31-M30+K30)</f>
        <v/>
      </c>
    </row>
    <row r="32" customFormat="false" ht="15" hidden="false" customHeight="false" outlineLevel="0" collapsed="false">
      <c r="A32" s="6" t="n">
        <v>24</v>
      </c>
      <c r="B32" s="11" t="n">
        <v>100</v>
      </c>
      <c r="C32" s="15" t="n">
        <f aca="false">IF(COUNT(B26:B31)=6,AVERAGE(B26:B31),"")</f>
        <v>102.5</v>
      </c>
      <c r="D32" s="15" t="n">
        <f aca="false">IF(C32="","",$B$3*C32)</f>
        <v>205</v>
      </c>
      <c r="E32" s="15" t="n">
        <f aca="false">IF(OR(D32="",D31=""),"",D32-D31+B31)</f>
        <v>82</v>
      </c>
      <c r="F32" s="15" t="n">
        <f aca="false">IF(COUNT(E26:E31)=6,AVERAGE(E26:E31),"")</f>
        <v>109.722222222222</v>
      </c>
      <c r="G32" s="15" t="n">
        <f aca="false">IF(F32="","",$B$3*F32)</f>
        <v>219.444444444444</v>
      </c>
      <c r="H32" s="15" t="n">
        <f aca="false">IF(OR(G32="",G31=""),"",G32-G31+E31)</f>
        <v>95.5555555555556</v>
      </c>
      <c r="I32" s="15" t="n">
        <f aca="false">IF(COUNT(H26:H31)=6,AVERAGE(H26:H31),"")</f>
        <v>115.037037037037</v>
      </c>
      <c r="J32" s="15" t="n">
        <f aca="false">IF(I32="","",$B$3*I32)</f>
        <v>230.074074074074</v>
      </c>
      <c r="K32" s="15" t="n">
        <f aca="false">IF(OR(J32="",J31=""),"",J32-J31+H31)</f>
        <v>85.5555555555555</v>
      </c>
      <c r="L32" s="15" t="str">
        <f aca="false">IF(COUNT(K26:K31)=6,AVERAGE(K26:K31),"")</f>
        <v/>
      </c>
      <c r="M32" s="15" t="str">
        <f aca="false">IF(L32="","",$B$3*L32)</f>
        <v/>
      </c>
      <c r="N32" s="15" t="str">
        <f aca="false">IF(OR(M32="",M31=""),"",M32-M31+K31)</f>
        <v/>
      </c>
    </row>
    <row r="33" customFormat="false" ht="15" hidden="false" customHeight="false" outlineLevel="0" collapsed="false">
      <c r="A33" s="6" t="n">
        <v>25</v>
      </c>
      <c r="B33" s="11" t="n">
        <v>99</v>
      </c>
      <c r="C33" s="15" t="n">
        <f aca="false">IF(COUNT(B27:B32)=6,AVERAGE(B27:B32),"")</f>
        <v>100.5</v>
      </c>
      <c r="D33" s="15" t="n">
        <f aca="false">IF(C33="","",$B$3*C33)</f>
        <v>201</v>
      </c>
      <c r="E33" s="15" t="n">
        <f aca="false">IF(OR(D33="",D32=""),"",D33-D32+B32)</f>
        <v>96</v>
      </c>
      <c r="F33" s="15" t="n">
        <f aca="false">IF(COUNT(E27:E32)=6,AVERAGE(E27:E32),"")</f>
        <v>102.166666666667</v>
      </c>
      <c r="G33" s="15" t="n">
        <f aca="false">IF(F33="","",$B$3*F33)</f>
        <v>204.333333333333</v>
      </c>
      <c r="H33" s="15" t="n">
        <f aca="false">IF(OR(G33="",G32=""),"",G33-G32+E32)</f>
        <v>66.8888888888889</v>
      </c>
      <c r="I33" s="15" t="n">
        <f aca="false">IF(COUNT(H27:H32)=6,AVERAGE(H27:H32),"")</f>
        <v>112.203703703704</v>
      </c>
      <c r="J33" s="15" t="n">
        <f aca="false">IF(I33="","",$B$3*I33)</f>
        <v>224.407407407407</v>
      </c>
      <c r="K33" s="15" t="n">
        <f aca="false">IF(OR(J33="",J32=""),"",J33-J32+H32)</f>
        <v>89.888888888889</v>
      </c>
      <c r="L33" s="15" t="str">
        <f aca="false">IF(COUNT(K27:K32)=6,AVERAGE(K27:K32),"")</f>
        <v/>
      </c>
      <c r="M33" s="15" t="str">
        <f aca="false">IF(L33="","",$B$3*L33)</f>
        <v/>
      </c>
      <c r="N33" s="15" t="str">
        <f aca="false">IF(OR(M33="",M32=""),"",M33-M32+K32)</f>
        <v/>
      </c>
    </row>
    <row r="34" customFormat="false" ht="15" hidden="false" customHeight="false" outlineLevel="0" collapsed="false">
      <c r="A34" s="6" t="n">
        <v>26</v>
      </c>
      <c r="B34" s="11" t="n">
        <v>109</v>
      </c>
      <c r="C34" s="15" t="n">
        <f aca="false">IF(COUNT(B28:B33)=6,AVERAGE(B28:B33),"")</f>
        <v>102</v>
      </c>
      <c r="D34" s="15" t="n">
        <f aca="false">IF(C34="","",$B$3*C34)</f>
        <v>204</v>
      </c>
      <c r="E34" s="15" t="n">
        <f aca="false">IF(OR(D34="",D33=""),"",D34-D33+B33)</f>
        <v>102</v>
      </c>
      <c r="F34" s="15" t="n">
        <f aca="false">IF(COUNT(E28:E33)=6,AVERAGE(E28:E33),"")</f>
        <v>99.1666666666667</v>
      </c>
      <c r="G34" s="15" t="n">
        <f aca="false">IF(F34="","",$B$3*F34)</f>
        <v>198.333333333333</v>
      </c>
      <c r="H34" s="15" t="n">
        <f aca="false">IF(OR(G34="",G33=""),"",G34-G33+E33)</f>
        <v>90</v>
      </c>
      <c r="I34" s="15" t="n">
        <f aca="false">IF(COUNT(H28:H33)=6,AVERAGE(H28:H33),"")</f>
        <v>101.055555555556</v>
      </c>
      <c r="J34" s="15" t="n">
        <f aca="false">IF(I34="","",$B$3*I34)</f>
        <v>202.111111111111</v>
      </c>
      <c r="K34" s="15" t="n">
        <f aca="false">IF(OR(J34="",J33=""),"",J34-J33+H33)</f>
        <v>44.5925925925926</v>
      </c>
      <c r="L34" s="15" t="str">
        <f aca="false">IF(COUNT(K28:K33)=6,AVERAGE(K28:K33),"")</f>
        <v/>
      </c>
      <c r="M34" s="15" t="str">
        <f aca="false">IF(L34="","",$B$3*L34)</f>
        <v/>
      </c>
      <c r="N34" s="15" t="str">
        <f aca="false">IF(OR(M34="",M33=""),"",M34-M33+K33)</f>
        <v/>
      </c>
    </row>
    <row r="35" customFormat="false" ht="15" hidden="false" customHeight="false" outlineLevel="0" collapsed="false">
      <c r="A35" s="6" t="n">
        <v>27</v>
      </c>
      <c r="B35" s="11" t="n">
        <v>101</v>
      </c>
      <c r="C35" s="15" t="n">
        <f aca="false">IF(COUNT(B29:B34)=6,AVERAGE(B29:B34),"")</f>
        <v>101.333333333333</v>
      </c>
      <c r="D35" s="15" t="n">
        <f aca="false">IF(C35="","",$B$3*C35)</f>
        <v>202.666666666667</v>
      </c>
      <c r="E35" s="15" t="n">
        <f aca="false">IF(OR(D35="",D34=""),"",D35-D34+B34)</f>
        <v>107.666666666667</v>
      </c>
      <c r="F35" s="15" t="n">
        <f aca="false">IF(COUNT(E29:E34)=6,AVERAGE(E29:E34),"")</f>
        <v>100.777777777778</v>
      </c>
      <c r="G35" s="15" t="n">
        <f aca="false">IF(F35="","",$B$3*F35)</f>
        <v>201.555555555556</v>
      </c>
      <c r="H35" s="15" t="n">
        <f aca="false">IF(OR(G35="",G34=""),"",G35-G34+E34)</f>
        <v>105.222222222222</v>
      </c>
      <c r="I35" s="15" t="n">
        <f aca="false">IF(COUNT(H29:H34)=6,AVERAGE(H29:H34),"")</f>
        <v>96.8703703703704</v>
      </c>
      <c r="J35" s="15" t="n">
        <f aca="false">IF(I35="","",$B$3*I35)</f>
        <v>193.740740740741</v>
      </c>
      <c r="K35" s="15" t="n">
        <f aca="false">IF(OR(J35="",J34=""),"",J35-J34+H34)</f>
        <v>81.6296296296296</v>
      </c>
      <c r="L35" s="15" t="str">
        <f aca="false">IF(COUNT(K29:K34)=6,AVERAGE(K29:K34),"")</f>
        <v/>
      </c>
      <c r="M35" s="15" t="str">
        <f aca="false">IF(L35="","",$B$3*L35)</f>
        <v/>
      </c>
      <c r="N35" s="15" t="str">
        <f aca="false">IF(OR(M35="",M34=""),"",M35-M34+K34)</f>
        <v/>
      </c>
    </row>
    <row r="36" customFormat="false" ht="15" hidden="false" customHeight="false" outlineLevel="0" collapsed="false">
      <c r="A36" s="6" t="n">
        <v>28</v>
      </c>
      <c r="B36" s="11" t="n">
        <v>116</v>
      </c>
      <c r="C36" s="15" t="n">
        <f aca="false">IF(COUNT(B30:B35)=6,AVERAGE(B30:B35),"")</f>
        <v>100.5</v>
      </c>
      <c r="D36" s="15" t="n">
        <f aca="false">IF(C36="","",$B$3*C36)</f>
        <v>201</v>
      </c>
      <c r="E36" s="15" t="n">
        <f aca="false">IF(OR(D36="",D35=""),"",D36-D35+B35)</f>
        <v>99.3333333333333</v>
      </c>
      <c r="F36" s="15" t="n">
        <f aca="false">IF(COUNT(E30:E35)=6,AVERAGE(E30:E35),"")</f>
        <v>98.2777777777778</v>
      </c>
      <c r="G36" s="15" t="n">
        <f aca="false">IF(F36="","",$B$3*F36)</f>
        <v>196.555555555556</v>
      </c>
      <c r="H36" s="15" t="n">
        <f aca="false">IF(OR(G36="",G35=""),"",G36-G35+E35)</f>
        <v>102.666666666667</v>
      </c>
      <c r="I36" s="15" t="n">
        <f aca="false">IF(COUNT(H30:H35)=6,AVERAGE(H30:H35),"")</f>
        <v>98.3333333333333</v>
      </c>
      <c r="J36" s="15" t="n">
        <f aca="false">IF(I36="","",$B$3*I36)</f>
        <v>196.666666666667</v>
      </c>
      <c r="K36" s="15" t="n">
        <f aca="false">IF(OR(J36="",J35=""),"",J36-J35+H35)</f>
        <v>108.148148148148</v>
      </c>
      <c r="L36" s="15" t="n">
        <f aca="false">IF(COUNT(K30:K35)=6,AVERAGE(K30:K35),"")</f>
        <v>93.0493827160494</v>
      </c>
      <c r="M36" s="15" t="n">
        <f aca="false">IF(L36="","",$B$3*L36)</f>
        <v>186.098765432099</v>
      </c>
      <c r="N36" s="15" t="str">
        <f aca="false">IF(OR(M36="",M35=""),"",M36-M35+K35)</f>
        <v/>
      </c>
    </row>
    <row r="37" customFormat="false" ht="15" hidden="false" customHeight="false" outlineLevel="0" collapsed="false">
      <c r="A37" s="6" t="n">
        <v>29</v>
      </c>
      <c r="B37" s="11" t="n">
        <v>92</v>
      </c>
      <c r="C37" s="15" t="n">
        <f aca="false">IF(COUNT(B31:B36)=6,AVERAGE(B31:B36),"")</f>
        <v>102.833333333333</v>
      </c>
      <c r="D37" s="15" t="n">
        <f aca="false">IF(C37="","",$B$3*C37)</f>
        <v>205.666666666667</v>
      </c>
      <c r="E37" s="15" t="n">
        <f aca="false">IF(OR(D37="",D36=""),"",D37-D36+B36)</f>
        <v>120.666666666667</v>
      </c>
      <c r="F37" s="15" t="n">
        <f aca="false">IF(COUNT(E31:E36)=6,AVERAGE(E31:E36),"")</f>
        <v>97.7222222222222</v>
      </c>
      <c r="G37" s="15" t="n">
        <f aca="false">IF(F37="","",$B$3*F37)</f>
        <v>195.444444444444</v>
      </c>
      <c r="H37" s="15" t="n">
        <f aca="false">IF(OR(G37="",G36=""),"",G37-G36+E36)</f>
        <v>98.2222222222223</v>
      </c>
      <c r="I37" s="15" t="n">
        <f aca="false">IF(COUNT(H31:H36)=6,AVERAGE(H31:H36),"")</f>
        <v>92.7592592592593</v>
      </c>
      <c r="J37" s="15" t="n">
        <f aca="false">IF(I37="","",$B$3*I37)</f>
        <v>185.518518518519</v>
      </c>
      <c r="K37" s="15" t="n">
        <f aca="false">IF(OR(J37="",J36=""),"",J37-J36+H36)</f>
        <v>91.5185185185185</v>
      </c>
      <c r="L37" s="15" t="n">
        <f aca="false">IF(COUNT(K31:K36)=6,AVERAGE(K31:K36),"")</f>
        <v>93.9382716049383</v>
      </c>
      <c r="M37" s="15" t="n">
        <f aca="false">IF(L37="","",$B$3*L37)</f>
        <v>187.876543209877</v>
      </c>
      <c r="N37" s="15" t="n">
        <f aca="false">IF(OR(M37="",M36=""),"",M37-M36+K36)</f>
        <v>109.925925925926</v>
      </c>
    </row>
    <row r="38" customFormat="false" ht="15" hidden="false" customHeight="false" outlineLevel="0" collapsed="false">
      <c r="A38" s="6" t="n">
        <v>30</v>
      </c>
      <c r="B38" s="11" t="n">
        <v>105</v>
      </c>
      <c r="C38" s="15" t="n">
        <f aca="false">IF(COUNT(B32:B37)=6,AVERAGE(B32:B37),"")</f>
        <v>102.833333333333</v>
      </c>
      <c r="D38" s="15" t="n">
        <f aca="false">IF(C38="","",$B$3*C38)</f>
        <v>205.666666666667</v>
      </c>
      <c r="E38" s="15" t="n">
        <f aca="false">IF(OR(D38="",D37=""),"",D38-D37+B37)</f>
        <v>92</v>
      </c>
      <c r="F38" s="15" t="n">
        <f aca="false">IF(COUNT(E32:E37)=6,AVERAGE(E32:E37),"")</f>
        <v>101.277777777778</v>
      </c>
      <c r="G38" s="15" t="n">
        <f aca="false">IF(F38="","",$B$3*F38)</f>
        <v>202.555555555556</v>
      </c>
      <c r="H38" s="15" t="n">
        <f aca="false">IF(OR(G38="",G37=""),"",G38-G37+E37)</f>
        <v>127.777777777778</v>
      </c>
      <c r="I38" s="15" t="n">
        <f aca="false">IF(COUNT(H32:H37)=6,AVERAGE(H32:H37),"")</f>
        <v>93.0925925925926</v>
      </c>
      <c r="J38" s="15" t="n">
        <f aca="false">IF(I38="","",$B$3*I38)</f>
        <v>186.185185185185</v>
      </c>
      <c r="K38" s="15" t="n">
        <f aca="false">IF(OR(J38="",J37=""),"",J38-J37+H37)</f>
        <v>98.888888888889</v>
      </c>
      <c r="L38" s="15" t="n">
        <f aca="false">IF(COUNT(K32:K37)=6,AVERAGE(K32:K37),"")</f>
        <v>83.5555555555556</v>
      </c>
      <c r="M38" s="15" t="n">
        <f aca="false">IF(L38="","",$B$3*L38)</f>
        <v>167.111111111111</v>
      </c>
      <c r="N38" s="15" t="n">
        <f aca="false">IF(OR(M38="",M37=""),"",M38-M37+K37)</f>
        <v>70.7530864197531</v>
      </c>
    </row>
    <row r="39" customFormat="false" ht="15" hidden="false" customHeight="false" outlineLevel="0" collapsed="false">
      <c r="A39" s="6" t="n">
        <v>31</v>
      </c>
      <c r="B39" s="11" t="n">
        <v>105</v>
      </c>
      <c r="C39" s="15" t="n">
        <f aca="false">IF(COUNT(B33:B38)=6,AVERAGE(B33:B38),"")</f>
        <v>103.666666666667</v>
      </c>
      <c r="D39" s="15" t="n">
        <f aca="false">IF(C39="","",$B$3*C39)</f>
        <v>207.333333333333</v>
      </c>
      <c r="E39" s="15" t="n">
        <f aca="false">IF(OR(D39="",D38=""),"",D39-D38+B38)</f>
        <v>106.666666666667</v>
      </c>
      <c r="F39" s="15" t="n">
        <f aca="false">IF(COUNT(E33:E38)=6,AVERAGE(E33:E38),"")</f>
        <v>102.944444444444</v>
      </c>
      <c r="G39" s="15" t="n">
        <f aca="false">IF(F39="","",$B$3*F39)</f>
        <v>205.888888888889</v>
      </c>
      <c r="H39" s="15" t="n">
        <f aca="false">IF(OR(G39="",G38=""),"",G39-G38+E38)</f>
        <v>95.3333333333333</v>
      </c>
      <c r="I39" s="15" t="n">
        <f aca="false">IF(COUNT(H33:H38)=6,AVERAGE(H33:H38),"")</f>
        <v>98.462962962963</v>
      </c>
      <c r="J39" s="15" t="n">
        <f aca="false">IF(I39="","",$B$3*I39)</f>
        <v>196.925925925926</v>
      </c>
      <c r="K39" s="15" t="n">
        <f aca="false">IF(OR(J39="",J38=""),"",J39-J38+H38)</f>
        <v>138.518518518518</v>
      </c>
      <c r="L39" s="15" t="n">
        <f aca="false">IF(COUNT(K33:K38)=6,AVERAGE(K33:K38),"")</f>
        <v>85.7777777777778</v>
      </c>
      <c r="M39" s="15" t="n">
        <f aca="false">IF(L39="","",$B$3*L39)</f>
        <v>171.555555555556</v>
      </c>
      <c r="N39" s="15" t="n">
        <f aca="false">IF(OR(M39="",M38=""),"",M39-M38+K38)</f>
        <v>103.333333333333</v>
      </c>
    </row>
    <row r="40" customFormat="false" ht="15" hidden="false" customHeight="false" outlineLevel="0" collapsed="false">
      <c r="A40" s="6" t="n">
        <v>32</v>
      </c>
      <c r="B40" s="11" t="n">
        <v>91</v>
      </c>
      <c r="C40" s="15" t="n">
        <f aca="false">IF(COUNT(B34:B39)=6,AVERAGE(B34:B39),"")</f>
        <v>104.666666666667</v>
      </c>
      <c r="D40" s="15" t="n">
        <f aca="false">IF(C40="","",$B$3*C40)</f>
        <v>209.333333333333</v>
      </c>
      <c r="E40" s="15" t="n">
        <f aca="false">IF(OR(D40="",D39=""),"",D40-D39+B39)</f>
        <v>107</v>
      </c>
      <c r="F40" s="15" t="n">
        <f aca="false">IF(COUNT(E34:E39)=6,AVERAGE(E34:E39),"")</f>
        <v>104.722222222222</v>
      </c>
      <c r="G40" s="15" t="n">
        <f aca="false">IF(F40="","",$B$3*F40)</f>
        <v>209.444444444444</v>
      </c>
      <c r="H40" s="15" t="n">
        <f aca="false">IF(OR(G40="",G39=""),"",G40-G39+E39)</f>
        <v>110.222222222222</v>
      </c>
      <c r="I40" s="15" t="n">
        <f aca="false">IF(COUNT(H34:H39)=6,AVERAGE(H34:H39),"")</f>
        <v>103.203703703704</v>
      </c>
      <c r="J40" s="15" t="n">
        <f aca="false">IF(I40="","",$B$3*I40)</f>
        <v>206.407407407407</v>
      </c>
      <c r="K40" s="15" t="n">
        <f aca="false">IF(OR(J40="",J39=""),"",J40-J39+H39)</f>
        <v>104.814814814815</v>
      </c>
      <c r="L40" s="15" t="n">
        <f aca="false">IF(COUNT(K34:K39)=6,AVERAGE(K34:K39),"")</f>
        <v>93.8827160493827</v>
      </c>
      <c r="M40" s="15" t="n">
        <f aca="false">IF(L40="","",$B$3*L40)</f>
        <v>187.765432098765</v>
      </c>
      <c r="N40" s="15" t="n">
        <f aca="false">IF(OR(M40="",M39=""),"",M40-M39+K39)</f>
        <v>154.728395061728</v>
      </c>
    </row>
    <row r="41" customFormat="false" ht="15" hidden="false" customHeight="false" outlineLevel="0" collapsed="false">
      <c r="A41" s="6" t="n">
        <v>33</v>
      </c>
      <c r="B41" s="11" t="n">
        <v>88</v>
      </c>
      <c r="C41" s="15" t="n">
        <f aca="false">IF(COUNT(B35:B40)=6,AVERAGE(B35:B40),"")</f>
        <v>101.666666666667</v>
      </c>
      <c r="D41" s="15" t="n">
        <f aca="false">IF(C41="","",$B$3*C41)</f>
        <v>203.333333333333</v>
      </c>
      <c r="E41" s="15" t="n">
        <f aca="false">IF(OR(D41="",D40=""),"",D41-D40+B40)</f>
        <v>85</v>
      </c>
      <c r="F41" s="15" t="n">
        <f aca="false">IF(COUNT(E35:E40)=6,AVERAGE(E35:E40),"")</f>
        <v>105.555555555556</v>
      </c>
      <c r="G41" s="15" t="n">
        <f aca="false">IF(F41="","",$B$3*F41)</f>
        <v>211.111111111111</v>
      </c>
      <c r="H41" s="15" t="n">
        <f aca="false">IF(OR(G41="",G40=""),"",G41-G40+E40)</f>
        <v>108.666666666667</v>
      </c>
      <c r="I41" s="15" t="n">
        <f aca="false">IF(COUNT(H35:H40)=6,AVERAGE(H35:H40),"")</f>
        <v>106.574074074074</v>
      </c>
      <c r="J41" s="15" t="n">
        <f aca="false">IF(I41="","",$B$3*I41)</f>
        <v>213.148148148148</v>
      </c>
      <c r="K41" s="15" t="n">
        <f aca="false">IF(OR(J41="",J40=""),"",J41-J40+H40)</f>
        <v>116.962962962963</v>
      </c>
      <c r="L41" s="15" t="n">
        <f aca="false">IF(COUNT(K35:K40)=6,AVERAGE(K35:K40),"")</f>
        <v>103.91975308642</v>
      </c>
      <c r="M41" s="15" t="n">
        <f aca="false">IF(L41="","",$B$3*L41)</f>
        <v>207.83950617284</v>
      </c>
      <c r="N41" s="15" t="n">
        <f aca="false">IF(OR(M41="",M40=""),"",M41-M40+K40)</f>
        <v>124.888888888889</v>
      </c>
    </row>
    <row r="42" customFormat="false" ht="15" hidden="false" customHeight="false" outlineLevel="0" collapsed="false">
      <c r="A42" s="6" t="n">
        <v>34</v>
      </c>
      <c r="B42" s="11" t="n">
        <v>110</v>
      </c>
      <c r="C42" s="15" t="n">
        <f aca="false">IF(COUNT(B36:B41)=6,AVERAGE(B36:B41),"")</f>
        <v>99.5</v>
      </c>
      <c r="D42" s="15" t="n">
        <f aca="false">IF(C42="","",$B$3*C42)</f>
        <v>199</v>
      </c>
      <c r="E42" s="15" t="n">
        <f aca="false">IF(OR(D42="",D41=""),"",D42-D41+B41)</f>
        <v>83.6666666666667</v>
      </c>
      <c r="F42" s="15" t="n">
        <f aca="false">IF(COUNT(E36:E41)=6,AVERAGE(E36:E41),"")</f>
        <v>101.777777777778</v>
      </c>
      <c r="G42" s="15" t="n">
        <f aca="false">IF(F42="","",$B$3*F42)</f>
        <v>203.555555555556</v>
      </c>
      <c r="H42" s="15" t="n">
        <f aca="false">IF(OR(G42="",G41=""),"",G42-G41+E41)</f>
        <v>77.4444444444445</v>
      </c>
      <c r="I42" s="15" t="n">
        <f aca="false">IF(COUNT(H36:H41)=6,AVERAGE(H36:H41),"")</f>
        <v>107.148148148148</v>
      </c>
      <c r="J42" s="15" t="n">
        <f aca="false">IF(I42="","",$B$3*I42)</f>
        <v>214.296296296296</v>
      </c>
      <c r="K42" s="15" t="n">
        <f aca="false">IF(OR(J42="",J41=""),"",J42-J41+H41)</f>
        <v>109.814814814815</v>
      </c>
      <c r="L42" s="15" t="n">
        <f aca="false">IF(COUNT(K36:K41)=6,AVERAGE(K36:K41),"")</f>
        <v>109.808641975309</v>
      </c>
      <c r="M42" s="15" t="n">
        <f aca="false">IF(L42="","",$B$3*L42)</f>
        <v>219.617283950617</v>
      </c>
      <c r="N42" s="15" t="n">
        <f aca="false">IF(OR(M42="",M41=""),"",M42-M41+K41)</f>
        <v>128.740740740741</v>
      </c>
    </row>
    <row r="43" customFormat="false" ht="15" hidden="false" customHeight="false" outlineLevel="0" collapsed="false">
      <c r="A43" s="6" t="n">
        <v>35</v>
      </c>
      <c r="B43" s="11" t="n">
        <v>105</v>
      </c>
      <c r="C43" s="15" t="n">
        <f aca="false">IF(COUNT(B37:B42)=6,AVERAGE(B37:B42),"")</f>
        <v>98.5</v>
      </c>
      <c r="D43" s="15" t="n">
        <f aca="false">IF(C43="","",$B$3*C43)</f>
        <v>197</v>
      </c>
      <c r="E43" s="15" t="n">
        <f aca="false">IF(OR(D43="",D42=""),"",D43-D42+B42)</f>
        <v>108</v>
      </c>
      <c r="F43" s="15" t="n">
        <f aca="false">IF(COUNT(E37:E42)=6,AVERAGE(E37:E42),"")</f>
        <v>99.1666666666667</v>
      </c>
      <c r="G43" s="15" t="n">
        <f aca="false">IF(F43="","",$B$3*F43)</f>
        <v>198.333333333333</v>
      </c>
      <c r="H43" s="15" t="n">
        <f aca="false">IF(OR(G43="",G42=""),"",G43-G42+E42)</f>
        <v>78.4444444444444</v>
      </c>
      <c r="I43" s="15" t="n">
        <f aca="false">IF(COUNT(H37:H42)=6,AVERAGE(H37:H42),"")</f>
        <v>102.944444444444</v>
      </c>
      <c r="J43" s="15" t="n">
        <f aca="false">IF(I43="","",$B$3*I43)</f>
        <v>205.888888888889</v>
      </c>
      <c r="K43" s="15" t="n">
        <f aca="false">IF(OR(J43="",J42=""),"",J43-J42+H42)</f>
        <v>69.0370370370371</v>
      </c>
      <c r="L43" s="15" t="n">
        <f aca="false">IF(COUNT(K37:K42)=6,AVERAGE(K37:K42),"")</f>
        <v>110.086419753086</v>
      </c>
      <c r="M43" s="15" t="n">
        <f aca="false">IF(L43="","",$B$3*L43)</f>
        <v>220.172839506173</v>
      </c>
      <c r="N43" s="15" t="n">
        <f aca="false">IF(OR(M43="",M42=""),"",M43-M42+K42)</f>
        <v>110.37037037037</v>
      </c>
    </row>
    <row r="44" customFormat="false" ht="15" hidden="false" customHeight="false" outlineLevel="0" collapsed="false">
      <c r="A44" s="6" t="n">
        <v>36</v>
      </c>
      <c r="B44" s="11" t="n">
        <v>98</v>
      </c>
      <c r="C44" s="15" t="n">
        <f aca="false">IF(COUNT(B38:B43)=6,AVERAGE(B38:B43),"")</f>
        <v>100.666666666667</v>
      </c>
      <c r="D44" s="15" t="n">
        <f aca="false">IF(C44="","",$B$3*C44)</f>
        <v>201.333333333333</v>
      </c>
      <c r="E44" s="15" t="n">
        <f aca="false">IF(OR(D44="",D43=""),"",D44-D43+B43)</f>
        <v>109.333333333333</v>
      </c>
      <c r="F44" s="15" t="n">
        <f aca="false">IF(COUNT(E38:E43)=6,AVERAGE(E38:E43),"")</f>
        <v>97.0555555555556</v>
      </c>
      <c r="G44" s="15" t="n">
        <f aca="false">IF(F44="","",$B$3*F44)</f>
        <v>194.111111111111</v>
      </c>
      <c r="H44" s="15" t="n">
        <f aca="false">IF(OR(G44="",G43=""),"",G44-G43+E43)</f>
        <v>103.777777777778</v>
      </c>
      <c r="I44" s="15" t="n">
        <f aca="false">IF(COUNT(H38:H43)=6,AVERAGE(H38:H43),"")</f>
        <v>99.6481481481482</v>
      </c>
      <c r="J44" s="15" t="n">
        <f aca="false">IF(I44="","",$B$3*I44)</f>
        <v>199.296296296296</v>
      </c>
      <c r="K44" s="15" t="n">
        <f aca="false">IF(OR(J44="",J43=""),"",J44-J43+H43)</f>
        <v>71.8518518518518</v>
      </c>
      <c r="L44" s="15" t="n">
        <f aca="false">IF(COUNT(K38:K43)=6,AVERAGE(K38:K43),"")</f>
        <v>106.33950617284</v>
      </c>
      <c r="M44" s="15" t="n">
        <f aca="false">IF(L44="","",$B$3*L44)</f>
        <v>212.679012345679</v>
      </c>
      <c r="N44" s="15" t="n">
        <f aca="false">IF(OR(M44="",M43=""),"",M44-M43+K43)</f>
        <v>61.5432098765433</v>
      </c>
    </row>
    <row r="45" customFormat="false" ht="15" hidden="false" customHeight="false" outlineLevel="0" collapsed="false">
      <c r="A45" s="6" t="n">
        <v>37</v>
      </c>
      <c r="B45" s="11" t="n">
        <v>104</v>
      </c>
      <c r="C45" s="15" t="n">
        <f aca="false">IF(COUNT(B39:B44)=6,AVERAGE(B39:B44),"")</f>
        <v>99.5</v>
      </c>
      <c r="D45" s="15" t="n">
        <f aca="false">IF(C45="","",$B$3*C45)</f>
        <v>199</v>
      </c>
      <c r="E45" s="15" t="n">
        <f aca="false">IF(OR(D45="",D44=""),"",D45-D44+B44)</f>
        <v>95.6666666666667</v>
      </c>
      <c r="F45" s="15" t="n">
        <f aca="false">IF(COUNT(E39:E44)=6,AVERAGE(E39:E44),"")</f>
        <v>99.9444444444445</v>
      </c>
      <c r="G45" s="15" t="n">
        <f aca="false">IF(F45="","",$B$3*F45)</f>
        <v>199.888888888889</v>
      </c>
      <c r="H45" s="15" t="n">
        <f aca="false">IF(OR(G45="",G44=""),"",G45-G44+E44)</f>
        <v>115.111111111111</v>
      </c>
      <c r="I45" s="15" t="n">
        <f aca="false">IF(COUNT(H39:H44)=6,AVERAGE(H39:H44),"")</f>
        <v>95.6481481481482</v>
      </c>
      <c r="J45" s="15" t="n">
        <f aca="false">IF(I45="","",$B$3*I45)</f>
        <v>191.296296296296</v>
      </c>
      <c r="K45" s="15" t="n">
        <f aca="false">IF(OR(J45="",J44=""),"",J45-J44+H44)</f>
        <v>95.7777777777778</v>
      </c>
      <c r="L45" s="15" t="n">
        <f aca="false">IF(COUNT(K39:K44)=6,AVERAGE(K39:K44),"")</f>
        <v>101.833333333333</v>
      </c>
      <c r="M45" s="15" t="n">
        <f aca="false">IF(L45="","",$B$3*L45)</f>
        <v>203.666666666667</v>
      </c>
      <c r="N45" s="15" t="n">
        <f aca="false">IF(OR(M45="",M44=""),"",M45-M44+K44)</f>
        <v>62.8395061728394</v>
      </c>
    </row>
    <row r="46" customFormat="false" ht="15" hidden="false" customHeight="false" outlineLevel="0" collapsed="false">
      <c r="A46" s="6" t="n">
        <v>38</v>
      </c>
      <c r="B46" s="11" t="n">
        <v>93</v>
      </c>
      <c r="C46" s="15" t="n">
        <f aca="false">IF(COUNT(B40:B45)=6,AVERAGE(B40:B45),"")</f>
        <v>99.3333333333333</v>
      </c>
      <c r="D46" s="15" t="n">
        <f aca="false">IF(C46="","",$B$3*C46)</f>
        <v>198.666666666667</v>
      </c>
      <c r="E46" s="15" t="n">
        <f aca="false">IF(OR(D46="",D45=""),"",D46-D45+B45)</f>
        <v>103.666666666667</v>
      </c>
      <c r="F46" s="15" t="n">
        <f aca="false">IF(COUNT(E40:E45)=6,AVERAGE(E40:E45),"")</f>
        <v>98.1111111111111</v>
      </c>
      <c r="G46" s="15" t="n">
        <f aca="false">IF(F46="","",$B$3*F46)</f>
        <v>196.222222222222</v>
      </c>
      <c r="H46" s="15" t="n">
        <f aca="false">IF(OR(G46="",G45=""),"",G46-G45+E45)</f>
        <v>91.9999999999999</v>
      </c>
      <c r="I46" s="15" t="n">
        <f aca="false">IF(COUNT(H40:H45)=6,AVERAGE(H40:H45),"")</f>
        <v>98.9444444444445</v>
      </c>
      <c r="J46" s="15" t="n">
        <f aca="false">IF(I46="","",$B$3*I46)</f>
        <v>197.888888888889</v>
      </c>
      <c r="K46" s="15" t="n">
        <f aca="false">IF(OR(J46="",J45=""),"",J46-J45+H45)</f>
        <v>121.703703703704</v>
      </c>
      <c r="L46" s="15" t="n">
        <f aca="false">IF(COUNT(K40:K45)=6,AVERAGE(K40:K45),"")</f>
        <v>94.7098765432099</v>
      </c>
      <c r="M46" s="15" t="n">
        <f aca="false">IF(L46="","",$B$3*L46)</f>
        <v>189.41975308642</v>
      </c>
      <c r="N46" s="15" t="n">
        <f aca="false">IF(OR(M46="",M45=""),"",M46-M45+K45)</f>
        <v>81.5308641975309</v>
      </c>
    </row>
    <row r="47" customFormat="false" ht="15" hidden="false" customHeight="false" outlineLevel="0" collapsed="false">
      <c r="A47" s="6" t="n">
        <v>39</v>
      </c>
      <c r="B47" s="11" t="n">
        <v>102</v>
      </c>
      <c r="C47" s="15" t="n">
        <f aca="false">IF(COUNT(B41:B46)=6,AVERAGE(B41:B46),"")</f>
        <v>99.6666666666667</v>
      </c>
      <c r="D47" s="15" t="n">
        <f aca="false">IF(C47="","",$B$3*C47)</f>
        <v>199.333333333333</v>
      </c>
      <c r="E47" s="15" t="n">
        <f aca="false">IF(OR(D47="",D46=""),"",D47-D46+B46)</f>
        <v>93.6666666666667</v>
      </c>
      <c r="F47" s="15" t="n">
        <f aca="false">IF(COUNT(E41:E46)=6,AVERAGE(E41:E46),"")</f>
        <v>97.5555555555555</v>
      </c>
      <c r="G47" s="15" t="n">
        <f aca="false">IF(F47="","",$B$3*F47)</f>
        <v>195.111111111111</v>
      </c>
      <c r="H47" s="15" t="n">
        <f aca="false">IF(OR(G47="",G46=""),"",G47-G46+E46)</f>
        <v>102.555555555556</v>
      </c>
      <c r="I47" s="15" t="n">
        <f aca="false">IF(COUNT(H41:H46)=6,AVERAGE(H41:H46),"")</f>
        <v>95.9074074074074</v>
      </c>
      <c r="J47" s="15" t="n">
        <f aca="false">IF(I47="","",$B$3*I47)</f>
        <v>191.814814814815</v>
      </c>
      <c r="K47" s="15" t="n">
        <f aca="false">IF(OR(J47="",J46=""),"",J47-J46+H46)</f>
        <v>85.9259259259258</v>
      </c>
      <c r="L47" s="15" t="n">
        <f aca="false">IF(COUNT(K41:K46)=6,AVERAGE(K41:K46),"")</f>
        <v>97.5246913580247</v>
      </c>
      <c r="M47" s="15" t="n">
        <f aca="false">IF(L47="","",$B$3*L47)</f>
        <v>195.049382716049</v>
      </c>
      <c r="N47" s="15" t="n">
        <f aca="false">IF(OR(M47="",M46=""),"",M47-M46+K46)</f>
        <v>127.333333333333</v>
      </c>
    </row>
    <row r="48" customFormat="false" ht="15" hidden="false" customHeight="false" outlineLevel="0" collapsed="false">
      <c r="A48" s="6" t="n">
        <v>40</v>
      </c>
      <c r="B48" s="11" t="n">
        <v>94</v>
      </c>
      <c r="C48" s="15" t="n">
        <f aca="false">IF(COUNT(B42:B47)=6,AVERAGE(B42:B47),"")</f>
        <v>102</v>
      </c>
      <c r="D48" s="15" t="n">
        <f aca="false">IF(C48="","",$B$3*C48)</f>
        <v>204</v>
      </c>
      <c r="E48" s="15" t="n">
        <f aca="false">IF(OR(D48="",D47=""),"",D48-D47+B47)</f>
        <v>106.666666666667</v>
      </c>
      <c r="F48" s="15" t="n">
        <f aca="false">IF(COUNT(E42:E47)=6,AVERAGE(E42:E47),"")</f>
        <v>99</v>
      </c>
      <c r="G48" s="15" t="n">
        <f aca="false">IF(F48="","",$B$3*F48)</f>
        <v>198</v>
      </c>
      <c r="H48" s="15" t="n">
        <f aca="false">IF(OR(G48="",G47=""),"",G48-G47+E47)</f>
        <v>96.5555555555556</v>
      </c>
      <c r="I48" s="15" t="n">
        <f aca="false">IF(COUNT(H42:H47)=6,AVERAGE(H42:H47),"")</f>
        <v>94.8888888888889</v>
      </c>
      <c r="J48" s="15" t="n">
        <f aca="false">IF(I48="","",$B$3*I48)</f>
        <v>189.777777777778</v>
      </c>
      <c r="K48" s="15" t="n">
        <f aca="false">IF(OR(J48="",J47=""),"",J48-J47+H47)</f>
        <v>100.518518518519</v>
      </c>
      <c r="L48" s="15" t="n">
        <f aca="false">IF(COUNT(K42:K47)=6,AVERAGE(K42:K47),"")</f>
        <v>92.3518518518519</v>
      </c>
      <c r="M48" s="15" t="n">
        <f aca="false">IF(L48="","",$B$3*L48)</f>
        <v>184.703703703704</v>
      </c>
      <c r="N48" s="15" t="n">
        <f aca="false">IF(OR(M48="",M47=""),"",M48-M47+K47)</f>
        <v>75.5802469135801</v>
      </c>
    </row>
    <row r="49" customFormat="false" ht="15" hidden="false" customHeight="false" outlineLevel="0" collapsed="false">
      <c r="A49" s="6" t="n">
        <v>41</v>
      </c>
      <c r="B49" s="11" t="n">
        <v>102</v>
      </c>
      <c r="C49" s="15" t="n">
        <f aca="false">IF(COUNT(B43:B48)=6,AVERAGE(B43:B48),"")</f>
        <v>99.3333333333333</v>
      </c>
      <c r="D49" s="15" t="n">
        <f aca="false">IF(C49="","",$B$3*C49)</f>
        <v>198.666666666667</v>
      </c>
      <c r="E49" s="15" t="n">
        <f aca="false">IF(OR(D49="",D48=""),"",D49-D48+B48)</f>
        <v>88.6666666666667</v>
      </c>
      <c r="F49" s="15" t="n">
        <f aca="false">IF(COUNT(E43:E48)=6,AVERAGE(E43:E48),"")</f>
        <v>102.833333333333</v>
      </c>
      <c r="G49" s="15" t="n">
        <f aca="false">IF(F49="","",$B$3*F49)</f>
        <v>205.666666666667</v>
      </c>
      <c r="H49" s="15" t="n">
        <f aca="false">IF(OR(G49="",G48=""),"",G49-G48+E48)</f>
        <v>114.333333333333</v>
      </c>
      <c r="I49" s="15" t="n">
        <f aca="false">IF(COUNT(H43:H48)=6,AVERAGE(H43:H48),"")</f>
        <v>98.0740740740741</v>
      </c>
      <c r="J49" s="15" t="n">
        <f aca="false">IF(I49="","",$B$3*I49)</f>
        <v>196.148148148148</v>
      </c>
      <c r="K49" s="15" t="n">
        <f aca="false">IF(OR(J49="",J48=""),"",J49-J48+H48)</f>
        <v>102.925925925926</v>
      </c>
      <c r="L49" s="15" t="n">
        <f aca="false">IF(COUNT(K43:K48)=6,AVERAGE(K43:K48),"")</f>
        <v>90.8024691358025</v>
      </c>
      <c r="M49" s="15" t="n">
        <f aca="false">IF(L49="","",$B$3*L49)</f>
        <v>181.604938271605</v>
      </c>
      <c r="N49" s="15" t="n">
        <f aca="false">IF(OR(M49="",M48=""),"",M49-M48+K48)</f>
        <v>97.4197530864198</v>
      </c>
    </row>
    <row r="50" customFormat="false" ht="15" hidden="false" customHeight="false" outlineLevel="0" collapsed="false">
      <c r="A50" s="6" t="n">
        <v>42</v>
      </c>
      <c r="B50" s="11" t="n">
        <v>110</v>
      </c>
      <c r="C50" s="15" t="n">
        <f aca="false">IF(COUNT(B44:B49)=6,AVERAGE(B44:B49),"")</f>
        <v>98.8333333333333</v>
      </c>
      <c r="D50" s="15" t="n">
        <f aca="false">IF(C50="","",$B$3*C50)</f>
        <v>197.666666666667</v>
      </c>
      <c r="E50" s="15" t="n">
        <f aca="false">IF(OR(D50="",D49=""),"",D50-D49+B49)</f>
        <v>101</v>
      </c>
      <c r="F50" s="15" t="n">
        <f aca="false">IF(COUNT(E44:E49)=6,AVERAGE(E44:E49),"")</f>
        <v>99.6111111111111</v>
      </c>
      <c r="G50" s="15" t="n">
        <f aca="false">IF(F50="","",$B$3*F50)</f>
        <v>199.222222222222</v>
      </c>
      <c r="H50" s="15" t="n">
        <f aca="false">IF(OR(G50="",G49=""),"",G50-G49+E49)</f>
        <v>82.2222222222222</v>
      </c>
      <c r="I50" s="15" t="n">
        <f aca="false">IF(COUNT(H44:H49)=6,AVERAGE(H44:H49),"")</f>
        <v>104.055555555556</v>
      </c>
      <c r="J50" s="15" t="n">
        <f aca="false">IF(I50="","",$B$3*I50)</f>
        <v>208.111111111111</v>
      </c>
      <c r="K50" s="15" t="n">
        <f aca="false">IF(OR(J50="",J49=""),"",J50-J49+H49)</f>
        <v>126.296296296296</v>
      </c>
      <c r="L50" s="15" t="n">
        <f aca="false">IF(COUNT(K44:K49)=6,AVERAGE(K44:K49),"")</f>
        <v>96.4506172839506</v>
      </c>
      <c r="M50" s="15" t="n">
        <f aca="false">IF(L50="","",$B$3*L50)</f>
        <v>192.901234567901</v>
      </c>
      <c r="N50" s="15" t="n">
        <f aca="false">IF(OR(M50="",M49=""),"",M50-M49+K49)</f>
        <v>114.222222222222</v>
      </c>
    </row>
    <row r="51" customFormat="false" ht="15" hidden="false" customHeight="false" outlineLevel="0" collapsed="false">
      <c r="A51" s="6" t="n">
        <v>43</v>
      </c>
      <c r="B51" s="11" t="n">
        <v>97</v>
      </c>
      <c r="C51" s="15" t="n">
        <f aca="false">IF(COUNT(B45:B50)=6,AVERAGE(B45:B50),"")</f>
        <v>100.833333333333</v>
      </c>
      <c r="D51" s="15" t="n">
        <f aca="false">IF(C51="","",$B$3*C51)</f>
        <v>201.666666666667</v>
      </c>
      <c r="E51" s="15" t="n">
        <f aca="false">IF(OR(D51="",D50=""),"",D51-D50+B50)</f>
        <v>114</v>
      </c>
      <c r="F51" s="15" t="n">
        <f aca="false">IF(COUNT(E45:E50)=6,AVERAGE(E45:E50),"")</f>
        <v>98.2222222222222</v>
      </c>
      <c r="G51" s="15" t="n">
        <f aca="false">IF(F51="","",$B$3*F51)</f>
        <v>196.444444444444</v>
      </c>
      <c r="H51" s="15" t="n">
        <f aca="false">IF(OR(G51="",G50=""),"",G51-G50+E50)</f>
        <v>98.2222222222222</v>
      </c>
      <c r="I51" s="15" t="n">
        <f aca="false">IF(COUNT(H45:H50)=6,AVERAGE(H45:H50),"")</f>
        <v>100.462962962963</v>
      </c>
      <c r="J51" s="15" t="n">
        <f aca="false">IF(I51="","",$B$3*I51)</f>
        <v>200.925925925926</v>
      </c>
      <c r="K51" s="15" t="n">
        <f aca="false">IF(OR(J51="",J50=""),"",J51-J50+H50)</f>
        <v>75.037037037037</v>
      </c>
      <c r="L51" s="15" t="n">
        <f aca="false">IF(COUNT(K45:K50)=6,AVERAGE(K45:K50),"")</f>
        <v>105.524691358025</v>
      </c>
      <c r="M51" s="15" t="n">
        <f aca="false">IF(L51="","",$B$3*L51)</f>
        <v>211.049382716049</v>
      </c>
      <c r="N51" s="15" t="n">
        <f aca="false">IF(OR(M51="",M50=""),"",M51-M50+K50)</f>
        <v>144.444444444444</v>
      </c>
    </row>
    <row r="52" customFormat="false" ht="15" hidden="false" customHeight="false" outlineLevel="0" collapsed="false">
      <c r="A52" s="6" t="n">
        <v>44</v>
      </c>
      <c r="B52" s="11" t="n">
        <v>108</v>
      </c>
      <c r="C52" s="15" t="n">
        <f aca="false">IF(COUNT(B46:B51)=6,AVERAGE(B46:B51),"")</f>
        <v>99.6666666666667</v>
      </c>
      <c r="D52" s="15" t="n">
        <f aca="false">IF(C52="","",$B$3*C52)</f>
        <v>199.333333333333</v>
      </c>
      <c r="E52" s="15" t="n">
        <f aca="false">IF(OR(D52="",D51=""),"",D52-D51+B51)</f>
        <v>94.6666666666667</v>
      </c>
      <c r="F52" s="15" t="n">
        <f aca="false">IF(COUNT(E46:E51)=6,AVERAGE(E46:E51),"")</f>
        <v>101.277777777778</v>
      </c>
      <c r="G52" s="15" t="n">
        <f aca="false">IF(F52="","",$B$3*F52)</f>
        <v>202.555555555556</v>
      </c>
      <c r="H52" s="15" t="n">
        <f aca="false">IF(OR(G52="",G51=""),"",G52-G51+E51)</f>
        <v>120.111111111111</v>
      </c>
      <c r="I52" s="15" t="n">
        <f aca="false">IF(COUNT(H46:H51)=6,AVERAGE(H46:H51),"")</f>
        <v>97.6481481481481</v>
      </c>
      <c r="J52" s="15" t="n">
        <f aca="false">IF(I52="","",$B$3*I52)</f>
        <v>195.296296296296</v>
      </c>
      <c r="K52" s="15" t="n">
        <f aca="false">IF(OR(J52="",J51=""),"",J52-J51+H51)</f>
        <v>92.5925925925926</v>
      </c>
      <c r="L52" s="15" t="n">
        <f aca="false">IF(COUNT(K46:K51)=6,AVERAGE(K46:K51),"")</f>
        <v>102.067901234568</v>
      </c>
      <c r="M52" s="15" t="n">
        <f aca="false">IF(L52="","",$B$3*L52)</f>
        <v>204.135802469136</v>
      </c>
      <c r="N52" s="15" t="n">
        <f aca="false">IF(OR(M52="",M51=""),"",M52-M51+K51)</f>
        <v>68.1234567901235</v>
      </c>
    </row>
    <row r="53" customFormat="false" ht="15" hidden="false" customHeight="false" outlineLevel="0" collapsed="false">
      <c r="A53" s="6" t="n">
        <v>45</v>
      </c>
      <c r="B53" s="11" t="n">
        <v>90</v>
      </c>
      <c r="C53" s="15" t="n">
        <f aca="false">IF(COUNT(B47:B52)=6,AVERAGE(B47:B52),"")</f>
        <v>102.166666666667</v>
      </c>
      <c r="D53" s="15" t="n">
        <f aca="false">IF(C53="","",$B$3*C53)</f>
        <v>204.333333333333</v>
      </c>
      <c r="E53" s="15" t="n">
        <f aca="false">IF(OR(D53="",D52=""),"",D53-D52+B52)</f>
        <v>113</v>
      </c>
      <c r="F53" s="15" t="n">
        <f aca="false">IF(COUNT(E47:E52)=6,AVERAGE(E47:E52),"")</f>
        <v>99.7777777777778</v>
      </c>
      <c r="G53" s="15" t="n">
        <f aca="false">IF(F53="","",$B$3*F53)</f>
        <v>199.555555555556</v>
      </c>
      <c r="H53" s="15" t="n">
        <f aca="false">IF(OR(G53="",G52=""),"",G53-G52+E52)</f>
        <v>91.6666666666667</v>
      </c>
      <c r="I53" s="15" t="n">
        <f aca="false">IF(COUNT(H47:H52)=6,AVERAGE(H47:H52),"")</f>
        <v>102.333333333333</v>
      </c>
      <c r="J53" s="15" t="n">
        <f aca="false">IF(I53="","",$B$3*I53)</f>
        <v>204.666666666667</v>
      </c>
      <c r="K53" s="15" t="n">
        <f aca="false">IF(OR(J53="",J52=""),"",J53-J52+H52)</f>
        <v>129.481481481482</v>
      </c>
      <c r="L53" s="15" t="n">
        <f aca="false">IF(COUNT(K47:K52)=6,AVERAGE(K47:K52),"")</f>
        <v>97.216049382716</v>
      </c>
      <c r="M53" s="15" t="n">
        <f aca="false">IF(L53="","",$B$3*L53)</f>
        <v>194.432098765432</v>
      </c>
      <c r="N53" s="15" t="n">
        <f aca="false">IF(OR(M53="",M52=""),"",M53-M52+K52)</f>
        <v>82.8888888888889</v>
      </c>
    </row>
    <row r="54" customFormat="false" ht="15" hidden="false" customHeight="false" outlineLevel="0" collapsed="false">
      <c r="A54" s="6" t="n">
        <v>46</v>
      </c>
      <c r="B54" s="11" t="n">
        <v>97</v>
      </c>
      <c r="C54" s="15" t="n">
        <f aca="false">IF(COUNT(B48:B53)=6,AVERAGE(B48:B53),"")</f>
        <v>100.166666666667</v>
      </c>
      <c r="D54" s="15" t="n">
        <f aca="false">IF(C54="","",$B$3*C54)</f>
        <v>200.333333333333</v>
      </c>
      <c r="E54" s="15" t="n">
        <f aca="false">IF(OR(D54="",D53=""),"",D54-D53+B53)</f>
        <v>86</v>
      </c>
      <c r="F54" s="15" t="n">
        <f aca="false">IF(COUNT(E48:E53)=6,AVERAGE(E48:E53),"")</f>
        <v>103</v>
      </c>
      <c r="G54" s="15" t="n">
        <f aca="false">IF(F54="","",$B$3*F54)</f>
        <v>206</v>
      </c>
      <c r="H54" s="15" t="n">
        <f aca="false">IF(OR(G54="",G53=""),"",G54-G53+E53)</f>
        <v>119.444444444444</v>
      </c>
      <c r="I54" s="15" t="n">
        <f aca="false">IF(COUNT(H48:H53)=6,AVERAGE(H48:H53),"")</f>
        <v>100.518518518519</v>
      </c>
      <c r="J54" s="15" t="n">
        <f aca="false">IF(I54="","",$B$3*I54)</f>
        <v>201.037037037037</v>
      </c>
      <c r="K54" s="15" t="n">
        <f aca="false">IF(OR(J54="",J53=""),"",J54-J53+H53)</f>
        <v>88.0370370370371</v>
      </c>
      <c r="L54" s="15" t="n">
        <f aca="false">IF(COUNT(K48:K53)=6,AVERAGE(K48:K53),"")</f>
        <v>104.475308641975</v>
      </c>
      <c r="M54" s="15" t="n">
        <f aca="false">IF(L54="","",$B$3*L54)</f>
        <v>208.950617283951</v>
      </c>
      <c r="N54" s="15" t="n">
        <f aca="false">IF(OR(M54="",M53=""),"",M54-M53+K53)</f>
        <v>144</v>
      </c>
    </row>
    <row r="55" customFormat="false" ht="15" hidden="false" customHeight="false" outlineLevel="0" collapsed="false">
      <c r="A55" s="6" t="n">
        <v>47</v>
      </c>
      <c r="B55" s="11" t="n">
        <v>86</v>
      </c>
      <c r="C55" s="15" t="n">
        <f aca="false">IF(COUNT(B49:B54)=6,AVERAGE(B49:B54),"")</f>
        <v>100.666666666667</v>
      </c>
      <c r="D55" s="15" t="n">
        <f aca="false">IF(C55="","",$B$3*C55)</f>
        <v>201.333333333333</v>
      </c>
      <c r="E55" s="15" t="n">
        <f aca="false">IF(OR(D55="",D54=""),"",D55-D54+B54)</f>
        <v>98</v>
      </c>
      <c r="F55" s="15" t="n">
        <f aca="false">IF(COUNT(E49:E54)=6,AVERAGE(E49:E54),"")</f>
        <v>99.5555555555556</v>
      </c>
      <c r="G55" s="15" t="n">
        <f aca="false">IF(F55="","",$B$3*F55)</f>
        <v>199.111111111111</v>
      </c>
      <c r="H55" s="15" t="n">
        <f aca="false">IF(OR(G55="",G54=""),"",G55-G54+E54)</f>
        <v>79.1111111111111</v>
      </c>
      <c r="I55" s="15" t="n">
        <f aca="false">IF(COUNT(H49:H54)=6,AVERAGE(H49:H54),"")</f>
        <v>104.333333333333</v>
      </c>
      <c r="J55" s="15" t="n">
        <f aca="false">IF(I55="","",$B$3*I55)</f>
        <v>208.666666666667</v>
      </c>
      <c r="K55" s="15" t="n">
        <f aca="false">IF(OR(J55="",J54=""),"",J55-J54+H54)</f>
        <v>127.074074074074</v>
      </c>
      <c r="L55" s="15" t="n">
        <f aca="false">IF(COUNT(K49:K54)=6,AVERAGE(K49:K54),"")</f>
        <v>102.395061728395</v>
      </c>
      <c r="M55" s="15" t="n">
        <f aca="false">IF(L55="","",$B$3*L55)</f>
        <v>204.79012345679</v>
      </c>
      <c r="N55" s="15" t="n">
        <f aca="false">IF(OR(M55="",M54=""),"",M55-M54+K54)</f>
        <v>83.8765432098767</v>
      </c>
    </row>
    <row r="56" customFormat="false" ht="15" hidden="false" customHeight="false" outlineLevel="0" collapsed="false">
      <c r="A56" s="6" t="n">
        <v>48</v>
      </c>
      <c r="B56" s="11" t="n">
        <v>99</v>
      </c>
      <c r="C56" s="15" t="n">
        <f aca="false">IF(COUNT(B50:B55)=6,AVERAGE(B50:B55),"")</f>
        <v>98</v>
      </c>
      <c r="D56" s="15" t="n">
        <f aca="false">IF(C56="","",$B$3*C56)</f>
        <v>196</v>
      </c>
      <c r="E56" s="15" t="n">
        <f aca="false">IF(OR(D56="",D55=""),"",D56-D55+B55)</f>
        <v>80.6666666666667</v>
      </c>
      <c r="F56" s="15" t="n">
        <f aca="false">IF(COUNT(E50:E55)=6,AVERAGE(E50:E55),"")</f>
        <v>101.111111111111</v>
      </c>
      <c r="G56" s="15" t="n">
        <f aca="false">IF(F56="","",$B$3*F56)</f>
        <v>202.222222222222</v>
      </c>
      <c r="H56" s="15" t="n">
        <f aca="false">IF(OR(G56="",G55=""),"",G56-G55+E55)</f>
        <v>101.111111111111</v>
      </c>
      <c r="I56" s="15" t="n">
        <f aca="false">IF(COUNT(H50:H55)=6,AVERAGE(H50:H55),"")</f>
        <v>98.462962962963</v>
      </c>
      <c r="J56" s="15" t="n">
        <f aca="false">IF(I56="","",$B$3*I56)</f>
        <v>196.925925925926</v>
      </c>
      <c r="K56" s="15" t="n">
        <f aca="false">IF(OR(J56="",J55=""),"",J56-J55+H55)</f>
        <v>67.3703703703704</v>
      </c>
      <c r="L56" s="15" t="n">
        <f aca="false">IF(COUNT(K50:K55)=6,AVERAGE(K50:K55),"")</f>
        <v>106.41975308642</v>
      </c>
      <c r="M56" s="15" t="n">
        <f aca="false">IF(L56="","",$B$3*L56)</f>
        <v>212.83950617284</v>
      </c>
      <c r="N56" s="15" t="n">
        <f aca="false">IF(OR(M56="",M55=""),"",M56-M55+K55)</f>
        <v>135.123456790123</v>
      </c>
    </row>
    <row r="57" customFormat="false" ht="15" hidden="false" customHeight="false" outlineLevel="0" collapsed="false">
      <c r="A57" s="6" t="n">
        <v>49</v>
      </c>
      <c r="B57" s="11" t="n">
        <v>101</v>
      </c>
      <c r="C57" s="15" t="n">
        <f aca="false">IF(COUNT(B51:B56)=6,AVERAGE(B51:B56),"")</f>
        <v>96.1666666666667</v>
      </c>
      <c r="D57" s="15" t="n">
        <f aca="false">IF(C57="","",$B$3*C57)</f>
        <v>192.333333333333</v>
      </c>
      <c r="E57" s="15" t="n">
        <f aca="false">IF(OR(D57="",D56=""),"",D57-D56+B56)</f>
        <v>95.3333333333333</v>
      </c>
      <c r="F57" s="15" t="n">
        <f aca="false">IF(COUNT(E51:E56)=6,AVERAGE(E51:E56),"")</f>
        <v>97.7222222222222</v>
      </c>
      <c r="G57" s="15" t="n">
        <f aca="false">IF(F57="","",$B$3*F57)</f>
        <v>195.444444444444</v>
      </c>
      <c r="H57" s="15" t="n">
        <f aca="false">IF(OR(G57="",G56=""),"",G57-G56+E56)</f>
        <v>73.8888888888889</v>
      </c>
      <c r="I57" s="15" t="n">
        <f aca="false">IF(COUNT(H51:H56)=6,AVERAGE(H51:H56),"")</f>
        <v>101.611111111111</v>
      </c>
      <c r="J57" s="15" t="n">
        <f aca="false">IF(I57="","",$B$3*I57)</f>
        <v>203.222222222222</v>
      </c>
      <c r="K57" s="15" t="n">
        <f aca="false">IF(OR(J57="",J56=""),"",J57-J56+H56)</f>
        <v>107.407407407407</v>
      </c>
      <c r="L57" s="15" t="n">
        <f aca="false">IF(COUNT(K51:K56)=6,AVERAGE(K51:K56),"")</f>
        <v>96.5987654320988</v>
      </c>
      <c r="M57" s="15" t="n">
        <f aca="false">IF(L57="","",$B$3*L57)</f>
        <v>193.197530864198</v>
      </c>
      <c r="N57" s="15" t="n">
        <f aca="false">IF(OR(M57="",M56=""),"",M57-M56+K56)</f>
        <v>47.7283950617285</v>
      </c>
    </row>
    <row r="58" customFormat="false" ht="15" hidden="false" customHeight="false" outlineLevel="0" collapsed="false">
      <c r="A58" s="6" t="n">
        <v>50</v>
      </c>
      <c r="B58" s="11" t="n">
        <v>98</v>
      </c>
      <c r="C58" s="15" t="n">
        <f aca="false">IF(COUNT(B52:B57)=6,AVERAGE(B52:B57),"")</f>
        <v>96.8333333333333</v>
      </c>
      <c r="D58" s="15" t="n">
        <f aca="false">IF(C58="","",$B$3*C58)</f>
        <v>193.666666666667</v>
      </c>
      <c r="E58" s="15" t="n">
        <f aca="false">IF(OR(D58="",D57=""),"",D58-D57+B57)</f>
        <v>102.333333333333</v>
      </c>
      <c r="F58" s="15" t="n">
        <f aca="false">IF(COUNT(E52:E57)=6,AVERAGE(E52:E57),"")</f>
        <v>94.6111111111111</v>
      </c>
      <c r="G58" s="15" t="n">
        <f aca="false">IF(F58="","",$B$3*F58)</f>
        <v>189.222222222222</v>
      </c>
      <c r="H58" s="15" t="n">
        <f aca="false">IF(OR(G58="",G57=""),"",G58-G57+E57)</f>
        <v>89.1111111111111</v>
      </c>
      <c r="I58" s="15" t="n">
        <f aca="false">IF(COUNT(H52:H57)=6,AVERAGE(H52:H57),"")</f>
        <v>97.5555555555556</v>
      </c>
      <c r="J58" s="15" t="n">
        <f aca="false">IF(I58="","",$B$3*I58)</f>
        <v>195.111111111111</v>
      </c>
      <c r="K58" s="15" t="n">
        <f aca="false">IF(OR(J58="",J57=""),"",J58-J57+H57)</f>
        <v>65.7777777777777</v>
      </c>
      <c r="L58" s="15" t="n">
        <f aca="false">IF(COUNT(K52:K57)=6,AVERAGE(K52:K57),"")</f>
        <v>101.993827160494</v>
      </c>
      <c r="M58" s="15" t="n">
        <f aca="false">IF(L58="","",$B$3*L58)</f>
        <v>203.987654320988</v>
      </c>
      <c r="N58" s="15" t="n">
        <f aca="false">IF(OR(M58="",M57=""),"",M58-M57+K57)</f>
        <v>118.197530864198</v>
      </c>
    </row>
    <row r="59" customFormat="false" ht="15" hidden="false" customHeight="false" outlineLevel="0" collapsed="false">
      <c r="A59" s="6" t="n">
        <v>51</v>
      </c>
      <c r="B59" s="11" t="n">
        <v>97</v>
      </c>
      <c r="C59" s="15" t="n">
        <f aca="false">IF(COUNT(B53:B58)=6,AVERAGE(B53:B58),"")</f>
        <v>95.1666666666667</v>
      </c>
      <c r="D59" s="15" t="n">
        <f aca="false">IF(C59="","",$B$3*C59)</f>
        <v>190.333333333333</v>
      </c>
      <c r="E59" s="15" t="n">
        <f aca="false">IF(OR(D59="",D58=""),"",D59-D58+B58)</f>
        <v>94.6666666666667</v>
      </c>
      <c r="F59" s="15" t="n">
        <f aca="false">IF(COUNT(E53:E58)=6,AVERAGE(E53:E58),"")</f>
        <v>95.8888888888889</v>
      </c>
      <c r="G59" s="15" t="n">
        <f aca="false">IF(F59="","",$B$3*F59)</f>
        <v>191.777777777778</v>
      </c>
      <c r="H59" s="15" t="n">
        <f aca="false">IF(OR(G59="",G58=""),"",G59-G58+E58)</f>
        <v>104.888888888889</v>
      </c>
      <c r="I59" s="15" t="n">
        <f aca="false">IF(COUNT(H53:H58)=6,AVERAGE(H53:H58),"")</f>
        <v>92.3888888888889</v>
      </c>
      <c r="J59" s="15" t="n">
        <f aca="false">IF(I59="","",$B$3*I59)</f>
        <v>184.777777777778</v>
      </c>
      <c r="K59" s="15" t="n">
        <f aca="false">IF(OR(J59="",J58=""),"",J59-J58+H58)</f>
        <v>78.7777777777778</v>
      </c>
      <c r="L59" s="15" t="n">
        <f aca="false">IF(COUNT(K53:K58)=6,AVERAGE(K53:K58),"")</f>
        <v>97.5246913580247</v>
      </c>
      <c r="M59" s="15" t="n">
        <f aca="false">IF(L59="","",$B$3*L59)</f>
        <v>195.049382716049</v>
      </c>
      <c r="N59" s="15" t="n">
        <f aca="false">IF(OR(M59="",M58=""),"",M59-M58+K58)</f>
        <v>56.8395061728395</v>
      </c>
    </row>
    <row r="60" customFormat="false" ht="15" hidden="false" customHeight="false" outlineLevel="0" collapsed="false">
      <c r="A60" s="6" t="n">
        <v>52</v>
      </c>
      <c r="B60" s="11" t="n">
        <v>113</v>
      </c>
      <c r="C60" s="15" t="n">
        <f aca="false">IF(COUNT(B54:B59)=6,AVERAGE(B54:B59),"")</f>
        <v>96.3333333333333</v>
      </c>
      <c r="D60" s="15" t="n">
        <f aca="false">IF(C60="","",$B$3*C60)</f>
        <v>192.666666666667</v>
      </c>
      <c r="E60" s="15" t="n">
        <f aca="false">IF(OR(D60="",D59=""),"",D60-D59+B59)</f>
        <v>99.3333333333333</v>
      </c>
      <c r="F60" s="15" t="n">
        <f aca="false">IF(COUNT(E54:E59)=6,AVERAGE(E54:E59),"")</f>
        <v>92.8333333333333</v>
      </c>
      <c r="G60" s="15" t="n">
        <f aca="false">IF(F60="","",$B$3*F60)</f>
        <v>185.666666666667</v>
      </c>
      <c r="H60" s="15" t="n">
        <f aca="false">IF(OR(G60="",G59=""),"",G60-G59+E59)</f>
        <v>88.5555555555556</v>
      </c>
      <c r="I60" s="15" t="n">
        <f aca="false">IF(COUNT(H54:H59)=6,AVERAGE(H54:H59),"")</f>
        <v>94.5925925925926</v>
      </c>
      <c r="J60" s="15" t="n">
        <f aca="false">IF(I60="","",$B$3*I60)</f>
        <v>189.185185185185</v>
      </c>
      <c r="K60" s="15" t="n">
        <f aca="false">IF(OR(J60="",J59=""),"",J60-J59+H59)</f>
        <v>109.296296296296</v>
      </c>
      <c r="L60" s="15" t="n">
        <f aca="false">IF(COUNT(K54:K59)=6,AVERAGE(K54:K59),"")</f>
        <v>89.0740740740741</v>
      </c>
      <c r="M60" s="15" t="n">
        <f aca="false">IF(L60="","",$B$3*L60)</f>
        <v>178.148148148148</v>
      </c>
      <c r="N60" s="15" t="n">
        <f aca="false">IF(OR(M60="",M59=""),"",M60-M59+K59)</f>
        <v>61.8765432098766</v>
      </c>
    </row>
    <row r="61" customFormat="false" ht="15" hidden="false" customHeight="false" outlineLevel="0" collapsed="false">
      <c r="A61" s="6" t="n">
        <v>53</v>
      </c>
      <c r="B61" s="11" t="n">
        <v>114</v>
      </c>
      <c r="C61" s="15" t="n">
        <f aca="false">IF(COUNT(B55:B60)=6,AVERAGE(B55:B60),"")</f>
        <v>99</v>
      </c>
      <c r="D61" s="15" t="n">
        <f aca="false">IF(C61="","",$B$3*C61)</f>
        <v>198</v>
      </c>
      <c r="E61" s="15" t="n">
        <f aca="false">IF(OR(D61="",D60=""),"",D61-D60+B60)</f>
        <v>118.333333333333</v>
      </c>
      <c r="F61" s="15" t="n">
        <f aca="false">IF(COUNT(E55:E60)=6,AVERAGE(E55:E60),"")</f>
        <v>95.0555555555555</v>
      </c>
      <c r="G61" s="15" t="n">
        <f aca="false">IF(F61="","",$B$3*F61)</f>
        <v>190.111111111111</v>
      </c>
      <c r="H61" s="15" t="n">
        <f aca="false">IF(OR(G61="",G60=""),"",G61-G60+E60)</f>
        <v>103.777777777778</v>
      </c>
      <c r="I61" s="15" t="n">
        <f aca="false">IF(COUNT(H55:H60)=6,AVERAGE(H55:H60),"")</f>
        <v>89.4444444444444</v>
      </c>
      <c r="J61" s="15" t="n">
        <f aca="false">IF(I61="","",$B$3*I61)</f>
        <v>178.888888888889</v>
      </c>
      <c r="K61" s="15" t="n">
        <f aca="false">IF(OR(J61="",J60=""),"",J61-J60+H60)</f>
        <v>78.2592592592594</v>
      </c>
      <c r="L61" s="15" t="n">
        <f aca="false">IF(COUNT(K55:K60)=6,AVERAGE(K55:K60),"")</f>
        <v>92.6172839506173</v>
      </c>
      <c r="M61" s="15" t="n">
        <f aca="false">IF(L61="","",$B$3*L61)</f>
        <v>185.234567901235</v>
      </c>
      <c r="N61" s="15" t="n">
        <f aca="false">IF(OR(M61="",M60=""),"",M61-M60+K60)</f>
        <v>116.382716049382</v>
      </c>
    </row>
    <row r="62" customFormat="false" ht="15" hidden="false" customHeight="false" outlineLevel="0" collapsed="false">
      <c r="A62" s="6" t="n">
        <v>54</v>
      </c>
      <c r="B62" s="11" t="n">
        <v>88</v>
      </c>
      <c r="C62" s="15" t="n">
        <f aca="false">IF(COUNT(B56:B61)=6,AVERAGE(B56:B61),"")</f>
        <v>103.666666666667</v>
      </c>
      <c r="D62" s="15" t="n">
        <f aca="false">IF(C62="","",$B$3*C62)</f>
        <v>207.333333333333</v>
      </c>
      <c r="E62" s="15" t="n">
        <f aca="false">IF(OR(D62="",D61=""),"",D62-D61+B61)</f>
        <v>123.333333333333</v>
      </c>
      <c r="F62" s="15" t="n">
        <f aca="false">IF(COUNT(E56:E61)=6,AVERAGE(E56:E61),"")</f>
        <v>98.4444444444444</v>
      </c>
      <c r="G62" s="15" t="n">
        <f aca="false">IF(F62="","",$B$3*F62)</f>
        <v>196.888888888889</v>
      </c>
      <c r="H62" s="15" t="n">
        <f aca="false">IF(OR(G62="",G61=""),"",G62-G61+E61)</f>
        <v>125.111111111111</v>
      </c>
      <c r="I62" s="15" t="n">
        <f aca="false">IF(COUNT(H56:H61)=6,AVERAGE(H56:H61),"")</f>
        <v>93.5555555555555</v>
      </c>
      <c r="J62" s="15" t="n">
        <f aca="false">IF(I62="","",$B$3*I62)</f>
        <v>187.111111111111</v>
      </c>
      <c r="K62" s="15" t="n">
        <f aca="false">IF(OR(J62="",J61=""),"",J62-J61+H61)</f>
        <v>112</v>
      </c>
      <c r="L62" s="15" t="n">
        <f aca="false">IF(COUNT(K56:K61)=6,AVERAGE(K56:K61),"")</f>
        <v>84.4814814814815</v>
      </c>
      <c r="M62" s="15" t="n">
        <f aca="false">IF(L62="","",$B$3*L62)</f>
        <v>168.962962962963</v>
      </c>
      <c r="N62" s="15" t="n">
        <f aca="false">IF(OR(M62="",M61=""),"",M62-M61+K61)</f>
        <v>61.9876543209878</v>
      </c>
    </row>
    <row r="63" customFormat="false" ht="15" hidden="false" customHeight="false" outlineLevel="0" collapsed="false">
      <c r="A63" s="6" t="n">
        <v>55</v>
      </c>
      <c r="B63" s="11" t="n">
        <v>112</v>
      </c>
      <c r="C63" s="15" t="n">
        <f aca="false">IF(COUNT(B57:B62)=6,AVERAGE(B57:B62),"")</f>
        <v>101.833333333333</v>
      </c>
      <c r="D63" s="15" t="n">
        <f aca="false">IF(C63="","",$B$3*C63)</f>
        <v>203.666666666667</v>
      </c>
      <c r="E63" s="15" t="n">
        <f aca="false">IF(OR(D63="",D62=""),"",D63-D62+B62)</f>
        <v>84.3333333333333</v>
      </c>
      <c r="F63" s="15" t="n">
        <f aca="false">IF(COUNT(E57:E62)=6,AVERAGE(E57:E62),"")</f>
        <v>105.555555555556</v>
      </c>
      <c r="G63" s="15" t="n">
        <f aca="false">IF(F63="","",$B$3*F63)</f>
        <v>211.111111111111</v>
      </c>
      <c r="H63" s="15" t="n">
        <f aca="false">IF(OR(G63="",G62=""),"",G63-G62+E62)</f>
        <v>137.555555555556</v>
      </c>
      <c r="I63" s="15" t="n">
        <f aca="false">IF(COUNT(H57:H62)=6,AVERAGE(H57:H62),"")</f>
        <v>97.5555555555555</v>
      </c>
      <c r="J63" s="15" t="n">
        <f aca="false">IF(I63="","",$B$3*I63)</f>
        <v>195.111111111111</v>
      </c>
      <c r="K63" s="15" t="n">
        <f aca="false">IF(OR(J63="",J62=""),"",J63-J62+H62)</f>
        <v>133.111111111111</v>
      </c>
      <c r="L63" s="15" t="n">
        <f aca="false">IF(COUNT(K57:K62)=6,AVERAGE(K57:K62),"")</f>
        <v>91.9197530864198</v>
      </c>
      <c r="M63" s="15" t="n">
        <f aca="false">IF(L63="","",$B$3*L63)</f>
        <v>183.83950617284</v>
      </c>
      <c r="N63" s="15" t="n">
        <f aca="false">IF(OR(M63="",M62=""),"",M63-M62+K62)</f>
        <v>126.876543209876</v>
      </c>
    </row>
    <row r="64" customFormat="false" ht="15" hidden="false" customHeight="false" outlineLevel="0" collapsed="false">
      <c r="A64" s="6" t="n">
        <v>56</v>
      </c>
      <c r="B64" s="11" t="n">
        <v>83</v>
      </c>
      <c r="C64" s="15" t="n">
        <f aca="false">IF(COUNT(B58:B63)=6,AVERAGE(B58:B63),"")</f>
        <v>103.666666666667</v>
      </c>
      <c r="D64" s="15" t="n">
        <f aca="false">IF(C64="","",$B$3*C64)</f>
        <v>207.333333333333</v>
      </c>
      <c r="E64" s="15" t="n">
        <f aca="false">IF(OR(D64="",D63=""),"",D64-D63+B63)</f>
        <v>115.666666666667</v>
      </c>
      <c r="F64" s="15" t="n">
        <f aca="false">IF(COUNT(E58:E63)=6,AVERAGE(E58:E63),"")</f>
        <v>103.722222222222</v>
      </c>
      <c r="G64" s="15" t="n">
        <f aca="false">IF(F64="","",$B$3*F64)</f>
        <v>207.444444444444</v>
      </c>
      <c r="H64" s="15" t="n">
        <f aca="false">IF(OR(G64="",G63=""),"",G64-G63+E63)</f>
        <v>80.6666666666666</v>
      </c>
      <c r="I64" s="15" t="n">
        <f aca="false">IF(COUNT(H58:H63)=6,AVERAGE(H58:H63),"")</f>
        <v>108.166666666667</v>
      </c>
      <c r="J64" s="15" t="n">
        <f aca="false">IF(I64="","",$B$3*I64)</f>
        <v>216.333333333333</v>
      </c>
      <c r="K64" s="15" t="n">
        <f aca="false">IF(OR(J64="",J63=""),"",J64-J63+H63)</f>
        <v>158.777777777778</v>
      </c>
      <c r="L64" s="15" t="n">
        <f aca="false">IF(COUNT(K58:K63)=6,AVERAGE(K58:K63),"")</f>
        <v>96.2037037037037</v>
      </c>
      <c r="M64" s="15" t="n">
        <f aca="false">IF(L64="","",$B$3*L64)</f>
        <v>192.407407407407</v>
      </c>
      <c r="N64" s="15" t="n">
        <f aca="false">IF(OR(M64="",M63=""),"",M64-M63+K63)</f>
        <v>141.679012345679</v>
      </c>
    </row>
    <row r="65" customFormat="false" ht="15" hidden="false" customHeight="false" outlineLevel="0" collapsed="false">
      <c r="A65" s="6" t="n">
        <v>57</v>
      </c>
      <c r="B65" s="11" t="n">
        <v>93</v>
      </c>
      <c r="C65" s="15" t="n">
        <f aca="false">IF(COUNT(B59:B64)=6,AVERAGE(B59:B64),"")</f>
        <v>101.166666666667</v>
      </c>
      <c r="D65" s="15" t="n">
        <f aca="false">IF(C65="","",$B$3*C65)</f>
        <v>202.333333333333</v>
      </c>
      <c r="E65" s="15" t="n">
        <f aca="false">IF(OR(D65="",D64=""),"",D65-D64+B64)</f>
        <v>78</v>
      </c>
      <c r="F65" s="15" t="n">
        <f aca="false">IF(COUNT(E59:E64)=6,AVERAGE(E59:E64),"")</f>
        <v>105.944444444444</v>
      </c>
      <c r="G65" s="15" t="n">
        <f aca="false">IF(F65="","",$B$3*F65)</f>
        <v>211.888888888889</v>
      </c>
      <c r="H65" s="15" t="n">
        <f aca="false">IF(OR(G65="",G64=""),"",G65-G64+E64)</f>
        <v>120.111111111111</v>
      </c>
      <c r="I65" s="15" t="n">
        <f aca="false">IF(COUNT(H59:H64)=6,AVERAGE(H59:H64),"")</f>
        <v>106.759259259259</v>
      </c>
      <c r="J65" s="15" t="n">
        <f aca="false">IF(I65="","",$B$3*I65)</f>
        <v>213.518518518518</v>
      </c>
      <c r="K65" s="15" t="n">
        <f aca="false">IF(OR(J65="",J64=""),"",J65-J64+H64)</f>
        <v>77.8518518518518</v>
      </c>
      <c r="L65" s="15" t="n">
        <f aca="false">IF(COUNT(K59:K64)=6,AVERAGE(K59:K64),"")</f>
        <v>111.703703703704</v>
      </c>
      <c r="M65" s="15" t="n">
        <f aca="false">IF(L65="","",$B$3*L65)</f>
        <v>223.407407407407</v>
      </c>
      <c r="N65" s="15" t="n">
        <f aca="false">IF(OR(M65="",M64=""),"",M65-M64+K64)</f>
        <v>189.777777777778</v>
      </c>
    </row>
    <row r="66" customFormat="false" ht="15" hidden="false" customHeight="false" outlineLevel="0" collapsed="false">
      <c r="A66" s="6" t="n">
        <v>58</v>
      </c>
      <c r="B66" s="11" t="n">
        <v>98</v>
      </c>
      <c r="C66" s="15" t="n">
        <f aca="false">IF(COUNT(B60:B65)=6,AVERAGE(B60:B65),"")</f>
        <v>100.5</v>
      </c>
      <c r="D66" s="15" t="n">
        <f aca="false">IF(C66="","",$B$3*C66)</f>
        <v>201</v>
      </c>
      <c r="E66" s="15" t="n">
        <f aca="false">IF(OR(D66="",D65=""),"",D66-D65+B65)</f>
        <v>91.6666666666667</v>
      </c>
      <c r="F66" s="15" t="n">
        <f aca="false">IF(COUNT(E60:E65)=6,AVERAGE(E60:E65),"")</f>
        <v>103.166666666667</v>
      </c>
      <c r="G66" s="15" t="n">
        <f aca="false">IF(F66="","",$B$3*F66)</f>
        <v>206.333333333333</v>
      </c>
      <c r="H66" s="15" t="n">
        <f aca="false">IF(OR(G66="",G65=""),"",G66-G65+E65)</f>
        <v>72.4444444444444</v>
      </c>
      <c r="I66" s="15" t="n">
        <f aca="false">IF(COUNT(H60:H65)=6,AVERAGE(H60:H65),"")</f>
        <v>109.296296296296</v>
      </c>
      <c r="J66" s="15" t="n">
        <f aca="false">IF(I66="","",$B$3*I66)</f>
        <v>218.592592592593</v>
      </c>
      <c r="K66" s="15" t="n">
        <f aca="false">IF(OR(J66="",J65=""),"",J66-J65+H65)</f>
        <v>125.185185185185</v>
      </c>
      <c r="L66" s="15" t="n">
        <f aca="false">IF(COUNT(K60:K65)=6,AVERAGE(K60:K65),"")</f>
        <v>111.549382716049</v>
      </c>
      <c r="M66" s="15" t="n">
        <f aca="false">IF(L66="","",$B$3*L66)</f>
        <v>223.098765432099</v>
      </c>
      <c r="N66" s="15" t="n">
        <f aca="false">IF(OR(M66="",M65=""),"",M66-M65+K65)</f>
        <v>77.5432098765431</v>
      </c>
    </row>
    <row r="67" customFormat="false" ht="15" hidden="false" customHeight="false" outlineLevel="0" collapsed="false">
      <c r="A67" s="6" t="n">
        <v>59</v>
      </c>
      <c r="B67" s="11" t="n">
        <v>101</v>
      </c>
      <c r="C67" s="15" t="n">
        <f aca="false">IF(COUNT(B61:B66)=6,AVERAGE(B61:B66),"")</f>
        <v>98</v>
      </c>
      <c r="D67" s="15" t="n">
        <f aca="false">IF(C67="","",$B$3*C67)</f>
        <v>196</v>
      </c>
      <c r="E67" s="15" t="n">
        <f aca="false">IF(OR(D67="",D66=""),"",D67-D66+B66)</f>
        <v>93</v>
      </c>
      <c r="F67" s="15" t="n">
        <f aca="false">IF(COUNT(E61:E66)=6,AVERAGE(E61:E66),"")</f>
        <v>101.888888888889</v>
      </c>
      <c r="G67" s="15" t="n">
        <f aca="false">IF(F67="","",$B$3*F67)</f>
        <v>203.777777777778</v>
      </c>
      <c r="H67" s="15" t="n">
        <f aca="false">IF(OR(G67="",G66=""),"",G67-G66+E66)</f>
        <v>89.1111111111111</v>
      </c>
      <c r="I67" s="15" t="n">
        <f aca="false">IF(COUNT(H61:H66)=6,AVERAGE(H61:H66),"")</f>
        <v>106.611111111111</v>
      </c>
      <c r="J67" s="15" t="n">
        <f aca="false">IF(I67="","",$B$3*I67)</f>
        <v>213.222222222222</v>
      </c>
      <c r="K67" s="15" t="n">
        <f aca="false">IF(OR(J67="",J66=""),"",J67-J66+H66)</f>
        <v>67.0740740740741</v>
      </c>
      <c r="L67" s="15" t="n">
        <f aca="false">IF(COUNT(K61:K66)=6,AVERAGE(K61:K66),"")</f>
        <v>114.197530864198</v>
      </c>
      <c r="M67" s="15" t="n">
        <f aca="false">IF(L67="","",$B$3*L67)</f>
        <v>228.395061728395</v>
      </c>
      <c r="N67" s="15" t="n">
        <f aca="false">IF(OR(M67="",M66=""),"",M67-M66+K66)</f>
        <v>130.481481481482</v>
      </c>
    </row>
    <row r="68" customFormat="false" ht="15" hidden="false" customHeight="false" outlineLevel="0" collapsed="false">
      <c r="A68" s="6" t="n">
        <v>60</v>
      </c>
      <c r="B68" s="11" t="n">
        <v>90</v>
      </c>
      <c r="C68" s="15" t="n">
        <f aca="false">IF(COUNT(B62:B67)=6,AVERAGE(B62:B67),"")</f>
        <v>95.8333333333333</v>
      </c>
      <c r="D68" s="15" t="n">
        <f aca="false">IF(C68="","",$B$3*C68)</f>
        <v>191.666666666667</v>
      </c>
      <c r="E68" s="15" t="n">
        <f aca="false">IF(OR(D68="",D67=""),"",D68-D67+B67)</f>
        <v>96.6666666666667</v>
      </c>
      <c r="F68" s="15" t="n">
        <f aca="false">IF(COUNT(E62:E67)=6,AVERAGE(E62:E67),"")</f>
        <v>97.6666666666667</v>
      </c>
      <c r="G68" s="15" t="n">
        <f aca="false">IF(F68="","",$B$3*F68)</f>
        <v>195.333333333333</v>
      </c>
      <c r="H68" s="15" t="n">
        <f aca="false">IF(OR(G68="",G67=""),"",G68-G67+E67)</f>
        <v>84.5555555555555</v>
      </c>
      <c r="I68" s="15" t="n">
        <f aca="false">IF(COUNT(H62:H67)=6,AVERAGE(H62:H67),"")</f>
        <v>104.166666666667</v>
      </c>
      <c r="J68" s="15" t="n">
        <f aca="false">IF(I68="","",$B$3*I68)</f>
        <v>208.333333333333</v>
      </c>
      <c r="K68" s="15" t="n">
        <f aca="false">IF(OR(J68="",J67=""),"",J68-J67+H67)</f>
        <v>84.2222222222222</v>
      </c>
      <c r="L68" s="15" t="n">
        <f aca="false">IF(COUNT(K62:K67)=6,AVERAGE(K62:K67),"")</f>
        <v>112.333333333333</v>
      </c>
      <c r="M68" s="15" t="n">
        <f aca="false">IF(L68="","",$B$3*L68)</f>
        <v>224.666666666667</v>
      </c>
      <c r="N68" s="15" t="n">
        <f aca="false">IF(OR(M68="",M67=""),"",M68-M67+K67)</f>
        <v>63.3456790123456</v>
      </c>
    </row>
    <row r="69" customFormat="false" ht="15" hidden="false" customHeight="false" outlineLevel="0" collapsed="false">
      <c r="A69" s="6" t="n">
        <v>61</v>
      </c>
      <c r="B69" s="11" t="n">
        <v>93</v>
      </c>
      <c r="C69" s="15" t="n">
        <f aca="false">IF(COUNT(B63:B68)=6,AVERAGE(B63:B68),"")</f>
        <v>96.1666666666667</v>
      </c>
      <c r="D69" s="15" t="n">
        <f aca="false">IF(C69="","",$B$3*C69)</f>
        <v>192.333333333333</v>
      </c>
      <c r="E69" s="15" t="n">
        <f aca="false">IF(OR(D69="",D68=""),"",D69-D68+B68)</f>
        <v>90.6666666666667</v>
      </c>
      <c r="F69" s="15" t="n">
        <f aca="false">IF(COUNT(E63:E68)=6,AVERAGE(E63:E68),"")</f>
        <v>93.2222222222222</v>
      </c>
      <c r="G69" s="15" t="n">
        <f aca="false">IF(F69="","",$B$3*F69)</f>
        <v>186.444444444444</v>
      </c>
      <c r="H69" s="15" t="n">
        <f aca="false">IF(OR(G69="",G68=""),"",G69-G68+E68)</f>
        <v>87.7777777777777</v>
      </c>
      <c r="I69" s="15" t="n">
        <f aca="false">IF(COUNT(H63:H68)=6,AVERAGE(H63:H68),"")</f>
        <v>97.4074074074074</v>
      </c>
      <c r="J69" s="15" t="n">
        <f aca="false">IF(I69="","",$B$3*I69)</f>
        <v>194.814814814815</v>
      </c>
      <c r="K69" s="15" t="n">
        <f aca="false">IF(OR(J69="",J68=""),"",J69-J68+H68)</f>
        <v>71.037037037037</v>
      </c>
      <c r="L69" s="15" t="n">
        <f aca="false">IF(COUNT(K63:K68)=6,AVERAGE(K63:K68),"")</f>
        <v>107.703703703704</v>
      </c>
      <c r="M69" s="15" t="n">
        <f aca="false">IF(L69="","",$B$3*L69)</f>
        <v>215.407407407407</v>
      </c>
      <c r="N69" s="15" t="n">
        <f aca="false">IF(OR(M69="",M68=""),"",M69-M68+K68)</f>
        <v>74.962962962963</v>
      </c>
    </row>
    <row r="70" customFormat="false" ht="15" hidden="false" customHeight="false" outlineLevel="0" collapsed="false">
      <c r="A70" s="6" t="n">
        <v>62</v>
      </c>
      <c r="B70" s="11" t="n">
        <v>101</v>
      </c>
      <c r="C70" s="15" t="n">
        <f aca="false">IF(COUNT(B64:B69)=6,AVERAGE(B64:B69),"")</f>
        <v>93</v>
      </c>
      <c r="D70" s="15" t="n">
        <f aca="false">IF(C70="","",$B$3*C70)</f>
        <v>186</v>
      </c>
      <c r="E70" s="15" t="n">
        <f aca="false">IF(OR(D70="",D69=""),"",D70-D69+B69)</f>
        <v>86.6666666666667</v>
      </c>
      <c r="F70" s="15" t="n">
        <f aca="false">IF(COUNT(E64:E69)=6,AVERAGE(E64:E69),"")</f>
        <v>94.2777777777778</v>
      </c>
      <c r="G70" s="15" t="n">
        <f aca="false">IF(F70="","",$B$3*F70)</f>
        <v>188.555555555556</v>
      </c>
      <c r="H70" s="15" t="n">
        <f aca="false">IF(OR(G70="",G69=""),"",G70-G69+E69)</f>
        <v>92.7777777777778</v>
      </c>
      <c r="I70" s="15" t="n">
        <f aca="false">IF(COUNT(H64:H69)=6,AVERAGE(H64:H69),"")</f>
        <v>89.1111111111111</v>
      </c>
      <c r="J70" s="15" t="n">
        <f aca="false">IF(I70="","",$B$3*I70)</f>
        <v>178.222222222222</v>
      </c>
      <c r="K70" s="15" t="n">
        <f aca="false">IF(OR(J70="",J69=""),"",J70-J69+H69)</f>
        <v>71.1851851851851</v>
      </c>
      <c r="L70" s="15" t="n">
        <f aca="false">IF(COUNT(K64:K69)=6,AVERAGE(K64:K69),"")</f>
        <v>97.358024691358</v>
      </c>
      <c r="M70" s="15" t="n">
        <f aca="false">IF(L70="","",$B$3*L70)</f>
        <v>194.716049382716</v>
      </c>
      <c r="N70" s="15" t="n">
        <f aca="false">IF(OR(M70="",M69=""),"",M70-M69+K69)</f>
        <v>50.3456790123456</v>
      </c>
    </row>
    <row r="71" customFormat="false" ht="15" hidden="false" customHeight="false" outlineLevel="0" collapsed="false">
      <c r="A71" s="6" t="n">
        <v>63</v>
      </c>
      <c r="B71" s="11" t="n">
        <v>93</v>
      </c>
      <c r="C71" s="15" t="n">
        <f aca="false">IF(COUNT(B65:B70)=6,AVERAGE(B65:B70),"")</f>
        <v>96</v>
      </c>
      <c r="D71" s="15" t="n">
        <f aca="false">IF(C71="","",$B$3*C71)</f>
        <v>192</v>
      </c>
      <c r="E71" s="15" t="n">
        <f aca="false">IF(OR(D71="",D70=""),"",D71-D70+B70)</f>
        <v>107</v>
      </c>
      <c r="F71" s="15" t="n">
        <f aca="false">IF(COUNT(E65:E70)=6,AVERAGE(E65:E70),"")</f>
        <v>89.4444444444444</v>
      </c>
      <c r="G71" s="15" t="n">
        <f aca="false">IF(F71="","",$B$3*F71)</f>
        <v>178.888888888889</v>
      </c>
      <c r="H71" s="15" t="n">
        <f aca="false">IF(OR(G71="",G70=""),"",G71-G70+E70)</f>
        <v>77</v>
      </c>
      <c r="I71" s="15" t="n">
        <f aca="false">IF(COUNT(H65:H70)=6,AVERAGE(H65:H70),"")</f>
        <v>91.1296296296296</v>
      </c>
      <c r="J71" s="15" t="n">
        <f aca="false">IF(I71="","",$B$3*I71)</f>
        <v>182.259259259259</v>
      </c>
      <c r="K71" s="15" t="n">
        <f aca="false">IF(OR(J71="",J70=""),"",J71-J70+H70)</f>
        <v>96.8148148148149</v>
      </c>
      <c r="L71" s="15" t="n">
        <f aca="false">IF(COUNT(K65:K70)=6,AVERAGE(K65:K70),"")</f>
        <v>82.7592592592593</v>
      </c>
      <c r="M71" s="15" t="n">
        <f aca="false">IF(L71="","",$B$3*L71)</f>
        <v>165.518518518519</v>
      </c>
      <c r="N71" s="15" t="n">
        <f aca="false">IF(OR(M71="",M70=""),"",M71-M70+K70)</f>
        <v>41.9876543209876</v>
      </c>
    </row>
    <row r="72" customFormat="false" ht="15" hidden="false" customHeight="false" outlineLevel="0" collapsed="false">
      <c r="A72" s="6" t="n">
        <v>64</v>
      </c>
      <c r="B72" s="11" t="n">
        <v>94</v>
      </c>
      <c r="C72" s="15" t="n">
        <f aca="false">IF(COUNT(B66:B71)=6,AVERAGE(B66:B71),"")</f>
        <v>96</v>
      </c>
      <c r="D72" s="15" t="n">
        <f aca="false">IF(C72="","",$B$3*C72)</f>
        <v>192</v>
      </c>
      <c r="E72" s="15" t="n">
        <f aca="false">IF(OR(D72="",D71=""),"",D72-D71+B71)</f>
        <v>93</v>
      </c>
      <c r="F72" s="15" t="n">
        <f aca="false">IF(COUNT(E66:E71)=6,AVERAGE(E66:E71),"")</f>
        <v>94.2777777777778</v>
      </c>
      <c r="G72" s="15" t="n">
        <f aca="false">IF(F72="","",$B$3*F72)</f>
        <v>188.555555555556</v>
      </c>
      <c r="H72" s="15" t="n">
        <f aca="false">IF(OR(G72="",G71=""),"",G72-G71+E71)</f>
        <v>116.666666666667</v>
      </c>
      <c r="I72" s="15" t="n">
        <f aca="false">IF(COUNT(H66:H71)=6,AVERAGE(H66:H71),"")</f>
        <v>83.9444444444444</v>
      </c>
      <c r="J72" s="15" t="n">
        <f aca="false">IF(I72="","",$B$3*I72)</f>
        <v>167.888888888889</v>
      </c>
      <c r="K72" s="15" t="n">
        <f aca="false">IF(OR(J72="",J71=""),"",J72-J71+H71)</f>
        <v>62.6296296296296</v>
      </c>
      <c r="L72" s="15" t="n">
        <f aca="false">IF(COUNT(K66:K71)=6,AVERAGE(K66:K71),"")</f>
        <v>85.9197530864198</v>
      </c>
      <c r="M72" s="15" t="n">
        <f aca="false">IF(L72="","",$B$3*L72)</f>
        <v>171.83950617284</v>
      </c>
      <c r="N72" s="15" t="n">
        <f aca="false">IF(OR(M72="",M71=""),"",M72-M71+K71)</f>
        <v>103.135802469136</v>
      </c>
    </row>
    <row r="73" customFormat="false" ht="15" hidden="false" customHeight="false" outlineLevel="0" collapsed="false">
      <c r="A73" s="6" t="n">
        <v>65</v>
      </c>
      <c r="B73" s="11" t="n">
        <v>107</v>
      </c>
      <c r="C73" s="15" t="n">
        <f aca="false">IF(COUNT(B67:B72)=6,AVERAGE(B67:B72),"")</f>
        <v>95.3333333333333</v>
      </c>
      <c r="D73" s="15" t="n">
        <f aca="false">IF(C73="","",$B$3*C73)</f>
        <v>190.666666666667</v>
      </c>
      <c r="E73" s="15" t="n">
        <f aca="false">IF(OR(D73="",D72=""),"",D73-D72+B72)</f>
        <v>92.6666666666667</v>
      </c>
      <c r="F73" s="15" t="n">
        <f aca="false">IF(COUNT(E67:E72)=6,AVERAGE(E67:E72),"")</f>
        <v>94.5</v>
      </c>
      <c r="G73" s="15" t="n">
        <f aca="false">IF(F73="","",$B$3*F73)</f>
        <v>189</v>
      </c>
      <c r="H73" s="15" t="n">
        <f aca="false">IF(OR(G73="",G72=""),"",G73-G72+E72)</f>
        <v>93.4444444444445</v>
      </c>
      <c r="I73" s="15" t="n">
        <f aca="false">IF(COUNT(H67:H72)=6,AVERAGE(H67:H72),"")</f>
        <v>91.3148148148148</v>
      </c>
      <c r="J73" s="15" t="n">
        <f aca="false">IF(I73="","",$B$3*I73)</f>
        <v>182.62962962963</v>
      </c>
      <c r="K73" s="15" t="n">
        <f aca="false">IF(OR(J73="",J72=""),"",J73-J72+H72)</f>
        <v>131.407407407407</v>
      </c>
      <c r="L73" s="15" t="n">
        <f aca="false">IF(COUNT(K67:K72)=6,AVERAGE(K67:K72),"")</f>
        <v>75.4938271604938</v>
      </c>
      <c r="M73" s="15" t="n">
        <f aca="false">IF(L73="","",$B$3*L73)</f>
        <v>150.987654320988</v>
      </c>
      <c r="N73" s="15" t="n">
        <f aca="false">IF(OR(M73="",M72=""),"",M73-M72+K72)</f>
        <v>41.7777777777777</v>
      </c>
    </row>
    <row r="74" customFormat="false" ht="15" hidden="false" customHeight="false" outlineLevel="0" collapsed="false">
      <c r="A74" s="6" t="n">
        <v>66</v>
      </c>
      <c r="B74" s="11" t="n">
        <v>109</v>
      </c>
      <c r="C74" s="15" t="n">
        <f aca="false">IF(COUNT(B68:B73)=6,AVERAGE(B68:B73),"")</f>
        <v>96.3333333333333</v>
      </c>
      <c r="D74" s="15" t="n">
        <f aca="false">IF(C74="","",$B$3*C74)</f>
        <v>192.666666666667</v>
      </c>
      <c r="E74" s="15" t="n">
        <f aca="false">IF(OR(D74="",D73=""),"",D74-D73+B73)</f>
        <v>109</v>
      </c>
      <c r="F74" s="15" t="n">
        <f aca="false">IF(COUNT(E68:E73)=6,AVERAGE(E68:E73),"")</f>
        <v>94.4444444444444</v>
      </c>
      <c r="G74" s="15" t="n">
        <f aca="false">IF(F74="","",$B$3*F74)</f>
        <v>188.888888888889</v>
      </c>
      <c r="H74" s="15" t="n">
        <f aca="false">IF(OR(G74="",G73=""),"",G74-G73+E73)</f>
        <v>92.5555555555555</v>
      </c>
      <c r="I74" s="15" t="n">
        <f aca="false">IF(COUNT(H68:H73)=6,AVERAGE(H68:H73),"")</f>
        <v>92.037037037037</v>
      </c>
      <c r="J74" s="15" t="n">
        <f aca="false">IF(I74="","",$B$3*I74)</f>
        <v>184.074074074074</v>
      </c>
      <c r="K74" s="15" t="n">
        <f aca="false">IF(OR(J74="",J73=""),"",J74-J73+H73)</f>
        <v>94.8888888888889</v>
      </c>
      <c r="L74" s="15" t="n">
        <f aca="false">IF(COUNT(K68:K73)=6,AVERAGE(K68:K73),"")</f>
        <v>86.2160493827161</v>
      </c>
      <c r="M74" s="15" t="n">
        <f aca="false">IF(L74="","",$B$3*L74)</f>
        <v>172.432098765432</v>
      </c>
      <c r="N74" s="15" t="n">
        <f aca="false">IF(OR(M74="",M73=""),"",M74-M73+K73)</f>
        <v>152.851851851852</v>
      </c>
    </row>
    <row r="75" customFormat="false" ht="15" hidden="false" customHeight="false" outlineLevel="0" collapsed="false">
      <c r="A75" s="6" t="n">
        <v>67</v>
      </c>
      <c r="B75" s="11" t="n">
        <v>99</v>
      </c>
      <c r="C75" s="15" t="n">
        <f aca="false">IF(COUNT(B69:B74)=6,AVERAGE(B69:B74),"")</f>
        <v>99.5</v>
      </c>
      <c r="D75" s="15" t="n">
        <f aca="false">IF(C75="","",$B$3*C75)</f>
        <v>199</v>
      </c>
      <c r="E75" s="15" t="n">
        <f aca="false">IF(OR(D75="",D74=""),"",D75-D74+B74)</f>
        <v>115.333333333333</v>
      </c>
      <c r="F75" s="15" t="n">
        <f aca="false">IF(COUNT(E69:E74)=6,AVERAGE(E69:E74),"")</f>
        <v>96.5</v>
      </c>
      <c r="G75" s="15" t="n">
        <f aca="false">IF(F75="","",$B$3*F75)</f>
        <v>193</v>
      </c>
      <c r="H75" s="15" t="n">
        <f aca="false">IF(OR(G75="",G74=""),"",G75-G74+E74)</f>
        <v>113.111111111111</v>
      </c>
      <c r="I75" s="15" t="n">
        <f aca="false">IF(COUNT(H69:H74)=6,AVERAGE(H69:H74),"")</f>
        <v>93.3703703703704</v>
      </c>
      <c r="J75" s="15" t="n">
        <f aca="false">IF(I75="","",$B$3*I75)</f>
        <v>186.740740740741</v>
      </c>
      <c r="K75" s="15" t="n">
        <f aca="false">IF(OR(J75="",J74=""),"",J75-J74+H74)</f>
        <v>95.2222222222222</v>
      </c>
      <c r="L75" s="15" t="n">
        <f aca="false">IF(COUNT(K69:K74)=6,AVERAGE(K69:K74),"")</f>
        <v>87.9938271604938</v>
      </c>
      <c r="M75" s="15" t="n">
        <f aca="false">IF(L75="","",$B$3*L75)</f>
        <v>175.987654320988</v>
      </c>
      <c r="N75" s="15" t="n">
        <f aca="false">IF(OR(M75="",M74=""),"",M75-M74+K74)</f>
        <v>98.4444444444444</v>
      </c>
    </row>
    <row r="76" customFormat="false" ht="15" hidden="false" customHeight="false" outlineLevel="0" collapsed="false">
      <c r="A76" s="6" t="n">
        <v>68</v>
      </c>
      <c r="B76" s="11" t="n">
        <v>100</v>
      </c>
      <c r="C76" s="15" t="n">
        <f aca="false">IF(COUNT(B70:B75)=6,AVERAGE(B70:B75),"")</f>
        <v>100.5</v>
      </c>
      <c r="D76" s="15" t="n">
        <f aca="false">IF(C76="","",$B$3*C76)</f>
        <v>201</v>
      </c>
      <c r="E76" s="15" t="n">
        <f aca="false">IF(OR(D76="",D75=""),"",D76-D75+B75)</f>
        <v>101</v>
      </c>
      <c r="F76" s="15" t="n">
        <f aca="false">IF(COUNT(E70:E75)=6,AVERAGE(E70:E75),"")</f>
        <v>100.611111111111</v>
      </c>
      <c r="G76" s="15" t="n">
        <f aca="false">IF(F76="","",$B$3*F76)</f>
        <v>201.222222222222</v>
      </c>
      <c r="H76" s="15" t="n">
        <f aca="false">IF(OR(G76="",G75=""),"",G76-G75+E75)</f>
        <v>123.555555555556</v>
      </c>
      <c r="I76" s="15" t="n">
        <f aca="false">IF(COUNT(H70:H75)=6,AVERAGE(H70:H75),"")</f>
        <v>97.5925925925926</v>
      </c>
      <c r="J76" s="15" t="n">
        <f aca="false">IF(I76="","",$B$3*I76)</f>
        <v>195.185185185185</v>
      </c>
      <c r="K76" s="15" t="n">
        <f aca="false">IF(OR(J76="",J75=""),"",J76-J75+H75)</f>
        <v>121.555555555556</v>
      </c>
      <c r="L76" s="15" t="n">
        <f aca="false">IF(COUNT(K70:K75)=6,AVERAGE(K70:K75),"")</f>
        <v>92.0246913580247</v>
      </c>
      <c r="M76" s="15" t="n">
        <f aca="false">IF(L76="","",$B$3*L76)</f>
        <v>184.049382716049</v>
      </c>
      <c r="N76" s="15" t="n">
        <f aca="false">IF(OR(M76="",M75=""),"",M76-M75+K75)</f>
        <v>103.283950617284</v>
      </c>
    </row>
    <row r="77" customFormat="false" ht="15" hidden="false" customHeight="false" outlineLevel="0" collapsed="false">
      <c r="A77" s="6" t="n">
        <v>69</v>
      </c>
      <c r="B77" s="11" t="n">
        <v>100</v>
      </c>
      <c r="C77" s="15" t="n">
        <f aca="false">IF(COUNT(B71:B76)=6,AVERAGE(B71:B76),"")</f>
        <v>100.333333333333</v>
      </c>
      <c r="D77" s="15" t="n">
        <f aca="false">IF(C77="","",$B$3*C77)</f>
        <v>200.666666666667</v>
      </c>
      <c r="E77" s="15" t="n">
        <f aca="false">IF(OR(D77="",D76=""),"",D77-D76+B76)</f>
        <v>99.6666666666667</v>
      </c>
      <c r="F77" s="15" t="n">
        <f aca="false">IF(COUNT(E71:E76)=6,AVERAGE(E71:E76),"")</f>
        <v>103</v>
      </c>
      <c r="G77" s="15" t="n">
        <f aca="false">IF(F77="","",$B$3*F77)</f>
        <v>206</v>
      </c>
      <c r="H77" s="15" t="n">
        <f aca="false">IF(OR(G77="",G76=""),"",G77-G76+E76)</f>
        <v>105.777777777778</v>
      </c>
      <c r="I77" s="15" t="n">
        <f aca="false">IF(COUNT(H71:H76)=6,AVERAGE(H71:H76),"")</f>
        <v>102.722222222222</v>
      </c>
      <c r="J77" s="15" t="n">
        <f aca="false">IF(I77="","",$B$3*I77)</f>
        <v>205.444444444444</v>
      </c>
      <c r="K77" s="15" t="n">
        <f aca="false">IF(OR(J77="",J76=""),"",J77-J76+H76)</f>
        <v>133.814814814815</v>
      </c>
      <c r="L77" s="15" t="n">
        <f aca="false">IF(COUNT(K71:K76)=6,AVERAGE(K71:K76),"")</f>
        <v>100.41975308642</v>
      </c>
      <c r="M77" s="15" t="n">
        <f aca="false">IF(L77="","",$B$3*L77)</f>
        <v>200.83950617284</v>
      </c>
      <c r="N77" s="15" t="n">
        <f aca="false">IF(OR(M77="",M76=""),"",M77-M76+K76)</f>
        <v>138.345679012346</v>
      </c>
    </row>
    <row r="78" customFormat="false" ht="15" hidden="false" customHeight="false" outlineLevel="0" collapsed="false">
      <c r="A78" s="6" t="n">
        <v>70</v>
      </c>
      <c r="B78" s="11" t="n">
        <v>95</v>
      </c>
      <c r="C78" s="15" t="n">
        <f aca="false">IF(COUNT(B72:B77)=6,AVERAGE(B72:B77),"")</f>
        <v>101.5</v>
      </c>
      <c r="D78" s="15" t="n">
        <f aca="false">IF(C78="","",$B$3*C78)</f>
        <v>203</v>
      </c>
      <c r="E78" s="15" t="n">
        <f aca="false">IF(OR(D78="",D77=""),"",D78-D77+B77)</f>
        <v>102.333333333333</v>
      </c>
      <c r="F78" s="15" t="n">
        <f aca="false">IF(COUNT(E72:E77)=6,AVERAGE(E72:E77),"")</f>
        <v>101.777777777778</v>
      </c>
      <c r="G78" s="15" t="n">
        <f aca="false">IF(F78="","",$B$3*F78)</f>
        <v>203.555555555556</v>
      </c>
      <c r="H78" s="15" t="n">
        <f aca="false">IF(OR(G78="",G77=""),"",G78-G77+E77)</f>
        <v>97.2222222222222</v>
      </c>
      <c r="I78" s="15" t="n">
        <f aca="false">IF(COUNT(H72:H77)=6,AVERAGE(H72:H77),"")</f>
        <v>107.518518518519</v>
      </c>
      <c r="J78" s="15" t="n">
        <f aca="false">IF(I78="","",$B$3*I78)</f>
        <v>215.037037037037</v>
      </c>
      <c r="K78" s="15" t="n">
        <f aca="false">IF(OR(J78="",J77=""),"",J78-J77+H77)</f>
        <v>115.37037037037</v>
      </c>
      <c r="L78" s="15" t="n">
        <f aca="false">IF(COUNT(K72:K77)=6,AVERAGE(K72:K77),"")</f>
        <v>106.586419753086</v>
      </c>
      <c r="M78" s="15" t="n">
        <f aca="false">IF(L78="","",$B$3*L78)</f>
        <v>213.172839506173</v>
      </c>
      <c r="N78" s="15" t="n">
        <f aca="false">IF(OR(M78="",M77=""),"",M78-M77+K77)</f>
        <v>146.148148148148</v>
      </c>
    </row>
    <row r="79" customFormat="false" ht="15" hidden="false" customHeight="false" outlineLevel="0" collapsed="false">
      <c r="A79" s="6" t="n">
        <v>71</v>
      </c>
      <c r="B79" s="11" t="n">
        <v>95</v>
      </c>
      <c r="C79" s="15" t="n">
        <f aca="false">IF(COUNT(B73:B78)=6,AVERAGE(B73:B78),"")</f>
        <v>101.666666666667</v>
      </c>
      <c r="D79" s="15" t="n">
        <f aca="false">IF(C79="","",$B$3*C79)</f>
        <v>203.333333333333</v>
      </c>
      <c r="E79" s="15" t="n">
        <f aca="false">IF(OR(D79="",D78=""),"",D79-D78+B78)</f>
        <v>95.3333333333333</v>
      </c>
      <c r="F79" s="15" t="n">
        <f aca="false">IF(COUNT(E73:E78)=6,AVERAGE(E73:E78),"")</f>
        <v>103.333333333333</v>
      </c>
      <c r="G79" s="15" t="n">
        <f aca="false">IF(F79="","",$B$3*F79)</f>
        <v>206.666666666667</v>
      </c>
      <c r="H79" s="15" t="n">
        <f aca="false">IF(OR(G79="",G78=""),"",G79-G78+E78)</f>
        <v>105.444444444444</v>
      </c>
      <c r="I79" s="15" t="n">
        <f aca="false">IF(COUNT(H73:H78)=6,AVERAGE(H73:H78),"")</f>
        <v>104.277777777778</v>
      </c>
      <c r="J79" s="15" t="n">
        <f aca="false">IF(I79="","",$B$3*I79)</f>
        <v>208.555555555556</v>
      </c>
      <c r="K79" s="15" t="n">
        <f aca="false">IF(OR(J79="",J78=""),"",J79-J78+H78)</f>
        <v>90.7407407407407</v>
      </c>
      <c r="L79" s="15" t="n">
        <f aca="false">IF(COUNT(K73:K78)=6,AVERAGE(K73:K78),"")</f>
        <v>115.376543209877</v>
      </c>
      <c r="M79" s="15" t="n">
        <f aca="false">IF(L79="","",$B$3*L79)</f>
        <v>230.753086419753</v>
      </c>
      <c r="N79" s="15" t="n">
        <f aca="false">IF(OR(M79="",M78=""),"",M79-M78+K78)</f>
        <v>132.950617283951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15" min="2" style="0" width="14"/>
  </cols>
  <sheetData>
    <row r="1" customFormat="false" ht="16.15" hidden="false" customHeight="false" outlineLevel="0" collapsed="false">
      <c r="A1" s="1" t="s">
        <v>112</v>
      </c>
    </row>
    <row r="2" customFormat="false" ht="15" hidden="false" customHeight="false" outlineLevel="0" collapsed="false">
      <c r="A2" s="4" t="s">
        <v>113</v>
      </c>
    </row>
    <row r="3" customFormat="false" ht="15" hidden="false" customHeight="false" outlineLevel="0" collapsed="false">
      <c r="A3" s="6" t="s">
        <v>114</v>
      </c>
      <c r="B3" s="11" t="n">
        <v>0.3</v>
      </c>
      <c r="D3" s="6" t="s">
        <v>115</v>
      </c>
      <c r="E3" s="11" t="n">
        <v>0.2</v>
      </c>
    </row>
    <row r="4" customFormat="false" ht="15" hidden="false" customHeight="false" outlineLevel="0" collapsed="false">
      <c r="A4" s="6" t="s">
        <v>116</v>
      </c>
      <c r="B4" s="11" t="n">
        <v>420</v>
      </c>
      <c r="D4" s="6" t="s">
        <v>117</v>
      </c>
      <c r="E4" s="11" t="n">
        <v>10</v>
      </c>
    </row>
    <row r="6" customFormat="false" ht="15" hidden="false" customHeight="false" outlineLevel="0" collapsed="false">
      <c r="A6" s="5" t="s">
        <v>118</v>
      </c>
      <c r="B6" s="5" t="s">
        <v>80</v>
      </c>
      <c r="C6" s="5" t="s">
        <v>119</v>
      </c>
      <c r="D6" s="5" t="s">
        <v>120</v>
      </c>
      <c r="E6" s="5" t="s">
        <v>121</v>
      </c>
      <c r="F6" s="5" t="s">
        <v>122</v>
      </c>
      <c r="G6" s="5" t="s">
        <v>123</v>
      </c>
      <c r="H6" s="5" t="s">
        <v>124</v>
      </c>
      <c r="I6" s="5" t="s">
        <v>125</v>
      </c>
      <c r="J6" s="5" t="s">
        <v>126</v>
      </c>
      <c r="K6" s="5" t="s">
        <v>127</v>
      </c>
      <c r="L6" s="5" t="s">
        <v>128</v>
      </c>
    </row>
    <row r="7" customFormat="false" ht="15" hidden="false" customHeight="false" outlineLevel="0" collapsed="false">
      <c r="A7" s="6" t="n">
        <v>1</v>
      </c>
      <c r="B7" s="11" t="n">
        <v>420</v>
      </c>
      <c r="C7" s="15"/>
      <c r="D7" s="15"/>
      <c r="E7" s="15" t="n">
        <f aca="false">$B$3*B7+(1-$B$3)*G7</f>
        <v>427</v>
      </c>
      <c r="F7" s="8" t="n">
        <f aca="false">$E$3*(E7-$B$4)+(1-$E$3)*$E$4</f>
        <v>9.4</v>
      </c>
      <c r="G7" s="15" t="n">
        <f aca="false">$B$4+$E$4</f>
        <v>430</v>
      </c>
      <c r="J7" s="15" t="n">
        <f aca="false">ABS(B7-G7)</f>
        <v>10</v>
      </c>
      <c r="L7" s="16" t="n">
        <f aca="false">J7/B7</f>
        <v>0.0238095238095238</v>
      </c>
    </row>
    <row r="8" customFormat="false" ht="15" hidden="false" customHeight="false" outlineLevel="0" collapsed="false">
      <c r="A8" s="6" t="n">
        <v>2</v>
      </c>
      <c r="B8" s="11" t="n">
        <v>445</v>
      </c>
      <c r="C8" s="15"/>
      <c r="D8" s="15" t="n">
        <f aca="false">B7</f>
        <v>420</v>
      </c>
      <c r="E8" s="15" t="n">
        <f aca="false">$B$3*B8+(1-$B$3)*G8</f>
        <v>438.98</v>
      </c>
      <c r="F8" s="8" t="n">
        <f aca="false">$E$3*(E8-E7)+(1-$E$3)*F7</f>
        <v>9.91599999999999</v>
      </c>
      <c r="G8" s="15" t="n">
        <f aca="false">E7+F7</f>
        <v>436.4</v>
      </c>
      <c r="I8" s="15" t="n">
        <f aca="false">ABS(B8-D8)</f>
        <v>25</v>
      </c>
      <c r="J8" s="15" t="n">
        <f aca="false">ABS(B8-G8)</f>
        <v>8.60000000000002</v>
      </c>
      <c r="K8" s="16" t="n">
        <f aca="false">I8/B8</f>
        <v>0.0561797752808989</v>
      </c>
      <c r="L8" s="16" t="n">
        <f aca="false">J8/B8</f>
        <v>0.0193258426966293</v>
      </c>
    </row>
    <row r="9" customFormat="false" ht="15" hidden="false" customHeight="false" outlineLevel="0" collapsed="false">
      <c r="A9" s="6" t="n">
        <v>3</v>
      </c>
      <c r="B9" s="11" t="n">
        <v>430</v>
      </c>
      <c r="C9" s="15"/>
      <c r="D9" s="15" t="n">
        <f aca="false">$B$3*B8+(1-$B$3)*D8</f>
        <v>427.5</v>
      </c>
      <c r="E9" s="15" t="n">
        <f aca="false">$B$3*B9+(1-$B$3)*G9</f>
        <v>443.2272</v>
      </c>
      <c r="F9" s="8" t="n">
        <f aca="false">$E$3*(E9-E8)+(1-$E$3)*F8</f>
        <v>8.78223999999999</v>
      </c>
      <c r="G9" s="15" t="n">
        <f aca="false">E8+F8</f>
        <v>448.896</v>
      </c>
      <c r="I9" s="15" t="n">
        <f aca="false">ABS(B9-D9)</f>
        <v>2.5</v>
      </c>
      <c r="J9" s="15" t="n">
        <f aca="false">ABS(B9-G9)</f>
        <v>18.896</v>
      </c>
      <c r="K9" s="16" t="n">
        <f aca="false">I9/B9</f>
        <v>0.00581395348837209</v>
      </c>
      <c r="L9" s="16" t="n">
        <f aca="false">J9/B9</f>
        <v>0.0439441860465115</v>
      </c>
    </row>
    <row r="10" customFormat="false" ht="15" hidden="false" customHeight="false" outlineLevel="0" collapsed="false">
      <c r="A10" s="6" t="n">
        <v>4</v>
      </c>
      <c r="B10" s="11" t="n">
        <v>465</v>
      </c>
      <c r="C10" s="15" t="n">
        <f aca="false">AVERAGE(B7:B9)</f>
        <v>431.666666666667</v>
      </c>
      <c r="D10" s="15" t="n">
        <f aca="false">$B$3*B9+(1-$B$3)*D9</f>
        <v>428.25</v>
      </c>
      <c r="E10" s="15" t="n">
        <f aca="false">$B$3*B10+(1-$B$3)*G10</f>
        <v>455.906608</v>
      </c>
      <c r="F10" s="8" t="n">
        <f aca="false">$E$3*(E10-E9)+(1-$E$3)*F9</f>
        <v>9.5616736</v>
      </c>
      <c r="G10" s="15" t="n">
        <f aca="false">E9+F9</f>
        <v>452.00944</v>
      </c>
      <c r="H10" s="15" t="n">
        <f aca="false">ABS(B10-C10)</f>
        <v>33.3333333333333</v>
      </c>
      <c r="I10" s="15" t="n">
        <f aca="false">ABS(B10-D10)</f>
        <v>36.75</v>
      </c>
      <c r="J10" s="15" t="n">
        <f aca="false">ABS(B10-G10)</f>
        <v>12.9905600000001</v>
      </c>
      <c r="K10" s="16" t="n">
        <f aca="false">I10/B10</f>
        <v>0.0790322580645161</v>
      </c>
      <c r="L10" s="16" t="n">
        <f aca="false">J10/B10</f>
        <v>0.0279366881720432</v>
      </c>
    </row>
    <row r="11" customFormat="false" ht="15" hidden="false" customHeight="false" outlineLevel="0" collapsed="false">
      <c r="A11" s="6" t="n">
        <v>5</v>
      </c>
      <c r="B11" s="11" t="n">
        <v>480</v>
      </c>
      <c r="C11" s="15" t="n">
        <f aca="false">AVERAGE(B8:B10)</f>
        <v>446.666666666667</v>
      </c>
      <c r="D11" s="15" t="n">
        <f aca="false">$B$3*B10+(1-$B$3)*D10</f>
        <v>439.275</v>
      </c>
      <c r="E11" s="15" t="n">
        <f aca="false">$B$3*B11+(1-$B$3)*G11</f>
        <v>469.82779712</v>
      </c>
      <c r="F11" s="8" t="n">
        <f aca="false">$E$3*(E11-E10)+(1-$E$3)*F10</f>
        <v>10.433576704</v>
      </c>
      <c r="G11" s="15" t="n">
        <f aca="false">E10+F10</f>
        <v>465.4682816</v>
      </c>
      <c r="H11" s="15" t="n">
        <f aca="false">ABS(B11-C11)</f>
        <v>33.3333333333333</v>
      </c>
      <c r="I11" s="15" t="n">
        <f aca="false">ABS(B11-D11)</f>
        <v>40.725</v>
      </c>
      <c r="J11" s="15" t="n">
        <f aca="false">ABS(B11-G11)</f>
        <v>14.5317184</v>
      </c>
      <c r="K11" s="16" t="n">
        <f aca="false">I11/B11</f>
        <v>0.0848437500000001</v>
      </c>
      <c r="L11" s="16" t="n">
        <f aca="false">J11/B11</f>
        <v>0.0302744133333334</v>
      </c>
    </row>
    <row r="12" customFormat="false" ht="15" hidden="false" customHeight="false" outlineLevel="0" collapsed="false">
      <c r="A12" s="6" t="n">
        <v>6</v>
      </c>
      <c r="B12" s="11" t="n">
        <v>455</v>
      </c>
      <c r="C12" s="15" t="n">
        <f aca="false">AVERAGE(B9:B11)</f>
        <v>458.333333333333</v>
      </c>
      <c r="D12" s="15" t="n">
        <f aca="false">$B$3*B11+(1-$B$3)*D11</f>
        <v>451.4925</v>
      </c>
      <c r="E12" s="15" t="n">
        <f aca="false">$B$3*B12+(1-$B$3)*G12</f>
        <v>472.6829616768</v>
      </c>
      <c r="F12" s="8" t="n">
        <f aca="false">$E$3*(E12-E11)+(1-$E$3)*F11</f>
        <v>8.91789427456</v>
      </c>
      <c r="G12" s="15" t="n">
        <f aca="false">E11+F11</f>
        <v>480.261373824</v>
      </c>
      <c r="H12" s="15" t="n">
        <f aca="false">ABS(B12-C12)</f>
        <v>3.33333333333331</v>
      </c>
      <c r="I12" s="15" t="n">
        <f aca="false">ABS(B12-D12)</f>
        <v>3.50750000000005</v>
      </c>
      <c r="J12" s="15" t="n">
        <f aca="false">ABS(B12-G12)</f>
        <v>25.261373824</v>
      </c>
      <c r="K12" s="16" t="n">
        <f aca="false">I12/B12</f>
        <v>0.00770879120879132</v>
      </c>
      <c r="L12" s="16" t="n">
        <f aca="false">J12/B12</f>
        <v>0.0555195029098901</v>
      </c>
    </row>
    <row r="13" customFormat="false" ht="15" hidden="false" customHeight="false" outlineLevel="0" collapsed="false">
      <c r="A13" s="6" t="n">
        <v>7</v>
      </c>
      <c r="B13" s="11" t="n">
        <v>490</v>
      </c>
      <c r="C13" s="15" t="n">
        <f aca="false">AVERAGE(B10:B12)</f>
        <v>466.666666666667</v>
      </c>
      <c r="D13" s="15" t="n">
        <f aca="false">$B$3*B12+(1-$B$3)*D12</f>
        <v>452.54475</v>
      </c>
      <c r="E13" s="15" t="n">
        <f aca="false">$B$3*B13+(1-$B$3)*G13</f>
        <v>484.120599165952</v>
      </c>
      <c r="F13" s="8" t="n">
        <f aca="false">$E$3*(E13-E12)+(1-$E$3)*F12</f>
        <v>9.4218429174784</v>
      </c>
      <c r="G13" s="15" t="n">
        <f aca="false">E12+F12</f>
        <v>481.60085595136</v>
      </c>
      <c r="H13" s="15" t="n">
        <f aca="false">ABS(B13-C13)</f>
        <v>23.3333333333333</v>
      </c>
      <c r="I13" s="15" t="n">
        <f aca="false">ABS(B13-D13)</f>
        <v>37.45525</v>
      </c>
      <c r="J13" s="15" t="n">
        <f aca="false">ABS(B13-G13)</f>
        <v>8.39914404864004</v>
      </c>
      <c r="K13" s="16" t="n">
        <f aca="false">I13/B13</f>
        <v>0.0764392857142858</v>
      </c>
      <c r="L13" s="16" t="n">
        <f aca="false">J13/B13</f>
        <v>0.017141110303347</v>
      </c>
    </row>
    <row r="14" customFormat="false" ht="15" hidden="false" customHeight="false" outlineLevel="0" collapsed="false">
      <c r="A14" s="6" t="n">
        <v>8</v>
      </c>
      <c r="B14" s="11" t="n">
        <v>505</v>
      </c>
      <c r="C14" s="15" t="n">
        <f aca="false">AVERAGE(B11:B13)</f>
        <v>475</v>
      </c>
      <c r="D14" s="15" t="n">
        <f aca="false">$B$3*B13+(1-$B$3)*D13</f>
        <v>463.781325</v>
      </c>
      <c r="E14" s="15" t="n">
        <f aca="false">$B$3*B14+(1-$B$3)*G14</f>
        <v>496.979709458401</v>
      </c>
      <c r="F14" s="8" t="n">
        <f aca="false">$E$3*(E14-E13)+(1-$E$3)*F13</f>
        <v>10.1092963924726</v>
      </c>
      <c r="G14" s="15" t="n">
        <f aca="false">E13+F13</f>
        <v>493.54244208343</v>
      </c>
      <c r="H14" s="15" t="n">
        <f aca="false">ABS(B14-C14)</f>
        <v>30</v>
      </c>
      <c r="I14" s="15" t="n">
        <f aca="false">ABS(B14-D14)</f>
        <v>41.218675</v>
      </c>
      <c r="J14" s="15" t="n">
        <f aca="false">ABS(B14-G14)</f>
        <v>11.4575579165697</v>
      </c>
      <c r="K14" s="16" t="n">
        <f aca="false">I14/B14</f>
        <v>0.0816211386138614</v>
      </c>
      <c r="L14" s="16" t="n">
        <f aca="false">J14/B14</f>
        <v>0.0226882334981578</v>
      </c>
    </row>
    <row r="15" customFormat="false" ht="15" hidden="false" customHeight="false" outlineLevel="0" collapsed="false">
      <c r="A15" s="6" t="n">
        <v>9</v>
      </c>
      <c r="B15" s="11" t="n">
        <v>495</v>
      </c>
      <c r="C15" s="15" t="n">
        <f aca="false">AVERAGE(B12:B14)</f>
        <v>483.333333333333</v>
      </c>
      <c r="D15" s="15" t="n">
        <f aca="false">$B$3*B14+(1-$B$3)*D14</f>
        <v>476.1469275</v>
      </c>
      <c r="E15" s="15" t="n">
        <f aca="false">$B$3*B15+(1-$B$3)*G15</f>
        <v>503.462304095612</v>
      </c>
      <c r="F15" s="8" t="n">
        <f aca="false">$E$3*(E15-E14)+(1-$E$3)*F14</f>
        <v>9.38395604142014</v>
      </c>
      <c r="G15" s="15" t="n">
        <f aca="false">E14+F14</f>
        <v>507.089005850874</v>
      </c>
      <c r="H15" s="15" t="n">
        <f aca="false">ABS(B15-C15)</f>
        <v>11.6666666666667</v>
      </c>
      <c r="I15" s="15" t="n">
        <f aca="false">ABS(B15-D15)</f>
        <v>18.8530725000001</v>
      </c>
      <c r="J15" s="15" t="n">
        <f aca="false">ABS(B15-G15)</f>
        <v>12.0890058508738</v>
      </c>
      <c r="K15" s="16" t="n">
        <f aca="false">I15/B15</f>
        <v>0.0380870151515153</v>
      </c>
      <c r="L15" s="16" t="n">
        <f aca="false">J15/B15</f>
        <v>0.0244222340421692</v>
      </c>
    </row>
    <row r="16" customFormat="false" ht="15" hidden="false" customHeight="false" outlineLevel="0" collapsed="false">
      <c r="A16" s="6" t="n">
        <v>10</v>
      </c>
      <c r="B16" s="11" t="n">
        <v>520</v>
      </c>
      <c r="C16" s="15" t="n">
        <f aca="false">AVERAGE(B13:B15)</f>
        <v>496.666666666667</v>
      </c>
      <c r="D16" s="15" t="n">
        <f aca="false">$B$3*B15+(1-$B$3)*D15</f>
        <v>481.80284925</v>
      </c>
      <c r="E16" s="15" t="n">
        <f aca="false">$B$3*B16+(1-$B$3)*G16</f>
        <v>514.992382095922</v>
      </c>
      <c r="F16" s="8" t="n">
        <f aca="false">$E$3*(E16-E15)+(1-$E$3)*F15</f>
        <v>9.81318043319824</v>
      </c>
      <c r="G16" s="15" t="n">
        <f aca="false">E15+F15</f>
        <v>512.846260137032</v>
      </c>
      <c r="H16" s="15" t="n">
        <f aca="false">ABS(B16-C16)</f>
        <v>23.3333333333333</v>
      </c>
      <c r="I16" s="15" t="n">
        <f aca="false">ABS(B16-D16)</f>
        <v>38.1971507500001</v>
      </c>
      <c r="J16" s="15" t="n">
        <f aca="false">ABS(B16-G16)</f>
        <v>7.15373986296822</v>
      </c>
      <c r="K16" s="16" t="n">
        <f aca="false">I16/B16</f>
        <v>0.0734560591346155</v>
      </c>
      <c r="L16" s="16" t="n">
        <f aca="false">J16/B16</f>
        <v>0.0137571920441697</v>
      </c>
    </row>
    <row r="17" customFormat="false" ht="15" hidden="false" customHeight="false" outlineLevel="0" collapsed="false">
      <c r="A17" s="6" t="n">
        <v>11</v>
      </c>
      <c r="B17" s="11" t="n">
        <v>515</v>
      </c>
      <c r="C17" s="15" t="n">
        <f aca="false">AVERAGE(B14:B16)</f>
        <v>506.666666666667</v>
      </c>
      <c r="D17" s="15" t="n">
        <f aca="false">$B$3*B16+(1-$B$3)*D16</f>
        <v>493.261994475</v>
      </c>
      <c r="E17" s="15" t="n">
        <f aca="false">$B$3*B17+(1-$B$3)*G17</f>
        <v>521.863893770384</v>
      </c>
      <c r="F17" s="8" t="n">
        <f aca="false">$E$3*(E17-E16)+(1-$E$3)*F16</f>
        <v>9.224846681451</v>
      </c>
      <c r="G17" s="15" t="n">
        <f aca="false">E16+F16</f>
        <v>524.805562529121</v>
      </c>
      <c r="H17" s="15" t="n">
        <f aca="false">ABS(B17-C17)</f>
        <v>8.33333333333331</v>
      </c>
      <c r="I17" s="15" t="n">
        <f aca="false">ABS(B17-D17)</f>
        <v>21.7380055250001</v>
      </c>
      <c r="J17" s="15" t="n">
        <f aca="false">ABS(B17-G17)</f>
        <v>9.80556252912049</v>
      </c>
      <c r="K17" s="16" t="n">
        <f aca="false">I17/B17</f>
        <v>0.0422097194660195</v>
      </c>
      <c r="L17" s="16" t="n">
        <f aca="false">J17/B17</f>
        <v>0.0190399272410107</v>
      </c>
    </row>
    <row r="18" customFormat="false" ht="15" hidden="false" customHeight="false" outlineLevel="0" collapsed="false">
      <c r="A18" s="6" t="n">
        <v>12</v>
      </c>
      <c r="B18" s="11" t="n">
        <v>540</v>
      </c>
      <c r="C18" s="15" t="n">
        <f aca="false">AVERAGE(B15:B17)</f>
        <v>510</v>
      </c>
      <c r="D18" s="15" t="n">
        <f aca="false">$B$3*B17+(1-$B$3)*D17</f>
        <v>499.7833961325</v>
      </c>
      <c r="E18" s="15" t="n">
        <f aca="false">$B$3*B18+(1-$B$3)*G18</f>
        <v>533.762118316285</v>
      </c>
      <c r="F18" s="8" t="n">
        <f aca="false">$E$3*(E18-E17)+(1-$E$3)*F17</f>
        <v>9.75952225434087</v>
      </c>
      <c r="G18" s="15" t="n">
        <f aca="false">E17+F17</f>
        <v>531.088740451835</v>
      </c>
      <c r="H18" s="15" t="n">
        <f aca="false">ABS(B18-C18)</f>
        <v>30</v>
      </c>
      <c r="I18" s="15" t="n">
        <f aca="false">ABS(B18-D18)</f>
        <v>40.2166038675001</v>
      </c>
      <c r="J18" s="15" t="n">
        <f aca="false">ABS(B18-G18)</f>
        <v>8.91125954816471</v>
      </c>
      <c r="K18" s="16" t="n">
        <f aca="false">I18/B18</f>
        <v>0.0744751923472223</v>
      </c>
      <c r="L18" s="16" t="n">
        <f aca="false">J18/B18</f>
        <v>0.0165023324966013</v>
      </c>
    </row>
    <row r="19" customFormat="false" ht="15" hidden="false" customHeight="false" outlineLevel="0" collapsed="false">
      <c r="A19" s="6" t="n">
        <v>13</v>
      </c>
      <c r="C19" s="15" t="n">
        <f aca="false">AVERAGE(B16:B18)</f>
        <v>525</v>
      </c>
      <c r="D19" s="15" t="n">
        <f aca="false">$B$3*B18+(1-$B$3)*D18</f>
        <v>511.84837729275</v>
      </c>
      <c r="G19" s="15" t="n">
        <f aca="false">E18+F18</f>
        <v>543.521640570625</v>
      </c>
    </row>
    <row r="21" customFormat="false" ht="15" hidden="false" customHeight="false" outlineLevel="0" collapsed="false">
      <c r="A21" s="6" t="s">
        <v>129</v>
      </c>
      <c r="H21" s="15" t="n">
        <f aca="false">AVERAGE(H10:H18)</f>
        <v>21.8518518518518</v>
      </c>
      <c r="I21" s="15" t="n">
        <f aca="false">AVERAGE(I8:I18)</f>
        <v>27.8328416038637</v>
      </c>
      <c r="J21" s="15" t="n">
        <f aca="false">AVERAGE(J7:J18)</f>
        <v>12.3413268316947</v>
      </c>
    </row>
    <row r="22" customFormat="false" ht="15" hidden="false" customHeight="false" outlineLevel="0" collapsed="false">
      <c r="A22" s="6" t="s">
        <v>130</v>
      </c>
      <c r="K22" s="16" t="n">
        <f aca="false">AVERAGE(K8:K18)</f>
        <v>0.056351539860918</v>
      </c>
      <c r="L22" s="16" t="n">
        <f aca="false">AVERAGE(L7:L18)</f>
        <v>0.0261967655494489</v>
      </c>
    </row>
    <row r="23" customFormat="false" ht="15" hidden="false" customHeight="false" outlineLevel="0" collapsed="false">
      <c r="A23" s="6" t="s">
        <v>131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15" min="2" style="0" width="14"/>
  </cols>
  <sheetData>
    <row r="1" customFormat="false" ht="16.15" hidden="false" customHeight="false" outlineLevel="0" collapsed="false">
      <c r="A1" s="1" t="s">
        <v>132</v>
      </c>
    </row>
    <row r="2" customFormat="false" ht="15" hidden="false" customHeight="false" outlineLevel="0" collapsed="false">
      <c r="A2" s="4" t="s">
        <v>133</v>
      </c>
    </row>
    <row r="4" customFormat="false" ht="23.85" hidden="false" customHeight="false" outlineLevel="0" collapsed="false">
      <c r="A4" s="5" t="s">
        <v>134</v>
      </c>
      <c r="B4" s="5" t="s">
        <v>135</v>
      </c>
      <c r="C4" s="5" t="s">
        <v>136</v>
      </c>
      <c r="F4" s="5" t="s">
        <v>118</v>
      </c>
      <c r="G4" s="5" t="s">
        <v>137</v>
      </c>
      <c r="H4" s="5" t="s">
        <v>138</v>
      </c>
    </row>
    <row r="5" customFormat="false" ht="15" hidden="false" customHeight="false" outlineLevel="0" collapsed="false">
      <c r="A5" s="6" t="n">
        <v>1</v>
      </c>
      <c r="B5" s="6" t="n">
        <v>1</v>
      </c>
      <c r="C5" s="11" t="n">
        <v>120</v>
      </c>
      <c r="F5" s="6" t="n">
        <v>1</v>
      </c>
      <c r="G5" s="11" t="n">
        <v>10</v>
      </c>
      <c r="H5" s="11" t="n">
        <v>212</v>
      </c>
    </row>
    <row r="6" customFormat="false" ht="15" hidden="false" customHeight="false" outlineLevel="0" collapsed="false">
      <c r="A6" s="6" t="n">
        <v>1</v>
      </c>
      <c r="B6" s="6" t="n">
        <v>2</v>
      </c>
      <c r="C6" s="11" t="n">
        <v>160</v>
      </c>
      <c r="F6" s="6" t="n">
        <v>2</v>
      </c>
      <c r="G6" s="11" t="n">
        <v>12</v>
      </c>
      <c r="H6" s="11" t="n">
        <v>228</v>
      </c>
    </row>
    <row r="7" customFormat="false" ht="15" hidden="false" customHeight="false" outlineLevel="0" collapsed="false">
      <c r="A7" s="6" t="n">
        <v>1</v>
      </c>
      <c r="B7" s="6" t="n">
        <v>3</v>
      </c>
      <c r="C7" s="11" t="n">
        <v>210</v>
      </c>
      <c r="F7" s="6" t="n">
        <v>3</v>
      </c>
      <c r="G7" s="11" t="n">
        <v>8</v>
      </c>
      <c r="H7" s="11" t="n">
        <v>196</v>
      </c>
    </row>
    <row r="8" customFormat="false" ht="15" hidden="false" customHeight="false" outlineLevel="0" collapsed="false">
      <c r="A8" s="6" t="n">
        <v>1</v>
      </c>
      <c r="B8" s="6" t="n">
        <v>4</v>
      </c>
      <c r="C8" s="11" t="n">
        <v>140</v>
      </c>
      <c r="F8" s="6" t="n">
        <v>4</v>
      </c>
      <c r="G8" s="11" t="n">
        <v>15</v>
      </c>
      <c r="H8" s="11" t="n">
        <v>262</v>
      </c>
    </row>
    <row r="9" customFormat="false" ht="15" hidden="false" customHeight="false" outlineLevel="0" collapsed="false">
      <c r="A9" s="6" t="n">
        <v>2</v>
      </c>
      <c r="B9" s="6" t="n">
        <v>1</v>
      </c>
      <c r="C9" s="11" t="n">
        <v>132</v>
      </c>
      <c r="F9" s="6" t="n">
        <v>5</v>
      </c>
      <c r="G9" s="11" t="n">
        <v>11</v>
      </c>
      <c r="H9" s="11" t="n">
        <v>230</v>
      </c>
    </row>
    <row r="10" customFormat="false" ht="15" hidden="false" customHeight="false" outlineLevel="0" collapsed="false">
      <c r="A10" s="6" t="n">
        <v>2</v>
      </c>
      <c r="B10" s="6" t="n">
        <v>2</v>
      </c>
      <c r="C10" s="11" t="n">
        <v>178</v>
      </c>
      <c r="F10" s="6" t="n">
        <v>6</v>
      </c>
      <c r="G10" s="11" t="n">
        <v>14</v>
      </c>
      <c r="H10" s="11" t="n">
        <v>248</v>
      </c>
    </row>
    <row r="11" customFormat="false" ht="15" hidden="false" customHeight="false" outlineLevel="0" collapsed="false">
      <c r="A11" s="6" t="n">
        <v>2</v>
      </c>
      <c r="B11" s="6" t="n">
        <v>3</v>
      </c>
      <c r="C11" s="11" t="n">
        <v>232</v>
      </c>
      <c r="F11" s="6" t="n">
        <v>7</v>
      </c>
      <c r="G11" s="11" t="n">
        <v>9</v>
      </c>
      <c r="H11" s="11" t="n">
        <v>205</v>
      </c>
    </row>
    <row r="12" customFormat="false" ht="15" hidden="false" customHeight="false" outlineLevel="0" collapsed="false">
      <c r="A12" s="6" t="n">
        <v>2</v>
      </c>
      <c r="B12" s="6" t="n">
        <v>4</v>
      </c>
      <c r="C12" s="11" t="n">
        <v>152</v>
      </c>
      <c r="F12" s="6" t="n">
        <v>8</v>
      </c>
      <c r="G12" s="11" t="n">
        <v>16</v>
      </c>
      <c r="H12" s="11" t="n">
        <v>281</v>
      </c>
    </row>
    <row r="13" customFormat="false" ht="15" hidden="false" customHeight="false" outlineLevel="0" collapsed="false">
      <c r="A13" s="6" t="n">
        <v>3</v>
      </c>
      <c r="B13" s="6" t="n">
        <v>1</v>
      </c>
      <c r="C13" s="11" t="n">
        <v>145</v>
      </c>
      <c r="F13" s="6" t="n">
        <v>9</v>
      </c>
      <c r="G13" s="11" t="n">
        <v>13</v>
      </c>
      <c r="H13" s="11" t="n">
        <v>236</v>
      </c>
    </row>
    <row r="14" customFormat="false" ht="15" hidden="false" customHeight="false" outlineLevel="0" collapsed="false">
      <c r="A14" s="6" t="n">
        <v>3</v>
      </c>
      <c r="B14" s="6" t="n">
        <v>2</v>
      </c>
      <c r="C14" s="11" t="n">
        <v>195</v>
      </c>
      <c r="F14" s="6" t="n">
        <v>10</v>
      </c>
      <c r="G14" s="11" t="n">
        <v>7</v>
      </c>
      <c r="H14" s="11" t="n">
        <v>183</v>
      </c>
    </row>
    <row r="15" customFormat="false" ht="15" hidden="false" customHeight="false" outlineLevel="0" collapsed="false">
      <c r="A15" s="6" t="n">
        <v>3</v>
      </c>
      <c r="B15" s="6" t="n">
        <v>3</v>
      </c>
      <c r="C15" s="11" t="n">
        <v>255</v>
      </c>
    </row>
    <row r="16" customFormat="false" ht="15" hidden="false" customHeight="false" outlineLevel="0" collapsed="false">
      <c r="A16" s="6" t="n">
        <v>3</v>
      </c>
      <c r="B16" s="6" t="n">
        <v>4</v>
      </c>
      <c r="C16" s="11" t="n">
        <v>168</v>
      </c>
      <c r="F16" s="6" t="s">
        <v>139</v>
      </c>
      <c r="G16" s="8" t="n">
        <f aca="false">SLOPE(H5:H14,G5:G14)</f>
        <v>9.87272727272727</v>
      </c>
    </row>
    <row r="17" customFormat="false" ht="15" hidden="false" customHeight="false" outlineLevel="0" collapsed="false">
      <c r="F17" s="6" t="s">
        <v>140</v>
      </c>
      <c r="G17" s="8" t="n">
        <f aca="false">INTERCEPT(H5:H14,G5:G14)</f>
        <v>114.563636363636</v>
      </c>
    </row>
    <row r="18" customFormat="false" ht="15" hidden="false" customHeight="false" outlineLevel="0" collapsed="false">
      <c r="F18" s="6" t="s">
        <v>141</v>
      </c>
      <c r="G18" s="17" t="n">
        <f aca="false">RSQ(H5:H14,G5:G14)</f>
        <v>0.972714846391799</v>
      </c>
    </row>
    <row r="19" customFormat="false" ht="15" hidden="false" customHeight="false" outlineLevel="0" collapsed="false">
      <c r="F19" s="6" t="s">
        <v>142</v>
      </c>
      <c r="G19" s="11" t="n">
        <v>12</v>
      </c>
      <c r="H19" s="15" t="n">
        <f aca="false">G17+G16*G19</f>
        <v>233.036363636364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15" min="2" style="0" width="14"/>
  </cols>
  <sheetData>
    <row r="1" customFormat="false" ht="16.15" hidden="false" customHeight="false" outlineLevel="0" collapsed="false">
      <c r="A1" s="1" t="s">
        <v>143</v>
      </c>
    </row>
    <row r="2" customFormat="false" ht="15" hidden="false" customHeight="false" outlineLevel="0" collapsed="false">
      <c r="A2" s="4" t="s">
        <v>144</v>
      </c>
    </row>
    <row r="4" customFormat="false" ht="15" hidden="false" customHeight="false" outlineLevel="0" collapsed="false">
      <c r="A4" s="6" t="s">
        <v>145</v>
      </c>
      <c r="B4" s="12" t="n">
        <v>24000</v>
      </c>
    </row>
    <row r="5" customFormat="false" ht="15" hidden="false" customHeight="false" outlineLevel="0" collapsed="false">
      <c r="A5" s="6" t="s">
        <v>146</v>
      </c>
      <c r="B5" s="7" t="n">
        <v>150</v>
      </c>
    </row>
    <row r="6" customFormat="false" ht="15" hidden="false" customHeight="false" outlineLevel="0" collapsed="false">
      <c r="A6" s="6" t="s">
        <v>69</v>
      </c>
      <c r="B6" s="7" t="n">
        <v>12</v>
      </c>
    </row>
    <row r="7" customFormat="false" ht="15" hidden="false" customHeight="false" outlineLevel="0" collapsed="false">
      <c r="A7" s="6" t="s">
        <v>147</v>
      </c>
      <c r="B7" s="10" t="n">
        <v>0.2</v>
      </c>
    </row>
    <row r="8" customFormat="false" ht="15" hidden="false" customHeight="false" outlineLevel="0" collapsed="false">
      <c r="A8" s="6" t="s">
        <v>148</v>
      </c>
      <c r="B8" s="8" t="n">
        <f aca="false">B6*B7</f>
        <v>2.4</v>
      </c>
    </row>
    <row r="9" customFormat="false" ht="15" hidden="false" customHeight="false" outlineLevel="0" collapsed="false">
      <c r="A9" s="6" t="s">
        <v>149</v>
      </c>
      <c r="B9" s="13" t="n">
        <f aca="false">SQRT(2*B4*B5/B8)</f>
        <v>1732.05080756888</v>
      </c>
    </row>
    <row r="10" customFormat="false" ht="15" hidden="false" customHeight="false" outlineLevel="0" collapsed="false">
      <c r="A10" s="6" t="s">
        <v>150</v>
      </c>
      <c r="B10" s="13" t="n">
        <f aca="false">B4/B9*B5+B9/2*B8</f>
        <v>4156.92193816531</v>
      </c>
    </row>
    <row r="12" customFormat="false" ht="23.85" hidden="false" customHeight="false" outlineLevel="0" collapsed="false">
      <c r="A12" s="5" t="s">
        <v>151</v>
      </c>
      <c r="B12" s="5" t="s">
        <v>152</v>
      </c>
      <c r="C12" s="5" t="s">
        <v>153</v>
      </c>
      <c r="D12" s="5" t="s">
        <v>154</v>
      </c>
      <c r="E12" s="5" t="s">
        <v>155</v>
      </c>
      <c r="F12" s="5" t="s">
        <v>156</v>
      </c>
    </row>
    <row r="13" customFormat="false" ht="15" hidden="false" customHeight="false" outlineLevel="0" collapsed="false">
      <c r="A13" s="6" t="s">
        <v>157</v>
      </c>
      <c r="B13" s="7" t="n">
        <v>12</v>
      </c>
      <c r="C13" s="12" t="n">
        <v>0</v>
      </c>
      <c r="D13" s="13" t="n">
        <f aca="false">SQRT(2*$B$4*$B$5/($B$7*B13))</f>
        <v>1732.05080756888</v>
      </c>
      <c r="E13" s="13" t="n">
        <f aca="false">MAX(D13,C13)</f>
        <v>1732.05080756888</v>
      </c>
      <c r="F13" s="13" t="n">
        <f aca="false">$B$4*B13+$B$4/E13*$B$5+E13/2*$B$7*B13</f>
        <v>292156.921938165</v>
      </c>
    </row>
    <row r="14" customFormat="false" ht="15" hidden="false" customHeight="false" outlineLevel="0" collapsed="false">
      <c r="A14" s="6" t="s">
        <v>158</v>
      </c>
      <c r="B14" s="7" t="n">
        <v>11.7</v>
      </c>
      <c r="C14" s="12" t="n">
        <v>1500</v>
      </c>
      <c r="D14" s="13" t="n">
        <f aca="false">SQRT(2*$B$4*$B$5/($B$7*B14))</f>
        <v>1754.11603861406</v>
      </c>
      <c r="E14" s="13" t="n">
        <f aca="false">MAX(D14,C14)</f>
        <v>1754.11603861406</v>
      </c>
      <c r="F14" s="13" t="n">
        <f aca="false">$B$4*B14+$B$4/E14*$B$5+E14/2*$B$7*B14</f>
        <v>284904.631530357</v>
      </c>
    </row>
    <row r="15" customFormat="false" ht="15" hidden="false" customHeight="false" outlineLevel="0" collapsed="false">
      <c r="A15" s="6" t="s">
        <v>159</v>
      </c>
      <c r="B15" s="7" t="n">
        <v>11.4</v>
      </c>
      <c r="C15" s="12" t="n">
        <v>3000</v>
      </c>
      <c r="D15" s="13" t="n">
        <f aca="false">SQRT(2*$B$4*$B$5/($B$7*B15))</f>
        <v>1777.04663327728</v>
      </c>
      <c r="E15" s="13" t="n">
        <f aca="false">MAX(D15,C15)</f>
        <v>3000</v>
      </c>
      <c r="F15" s="13" t="n">
        <f aca="false">$B$4*B15+$B$4/E15*$B$5+E15/2*$B$7*B15</f>
        <v>278220</v>
      </c>
    </row>
    <row r="16" customFormat="false" ht="15" hidden="false" customHeight="false" outlineLevel="0" collapsed="false">
      <c r="A16" s="6" t="s">
        <v>160</v>
      </c>
    </row>
    <row r="18" customFormat="false" ht="15" hidden="false" customHeight="false" outlineLevel="0" collapsed="false">
      <c r="A18" s="6" t="s">
        <v>161</v>
      </c>
      <c r="B18" s="11" t="n">
        <v>80</v>
      </c>
    </row>
    <row r="19" customFormat="false" ht="15" hidden="false" customHeight="false" outlineLevel="0" collapsed="false">
      <c r="A19" s="6" t="s">
        <v>162</v>
      </c>
      <c r="B19" s="11" t="n">
        <v>20</v>
      </c>
    </row>
    <row r="20" customFormat="false" ht="15" hidden="false" customHeight="false" outlineLevel="0" collapsed="false">
      <c r="A20" s="6" t="s">
        <v>163</v>
      </c>
      <c r="B20" s="11" t="n">
        <v>9</v>
      </c>
    </row>
    <row r="21" customFormat="false" ht="15" hidden="false" customHeight="false" outlineLevel="0" collapsed="false">
      <c r="A21" s="6" t="s">
        <v>164</v>
      </c>
      <c r="B21" s="11" t="n">
        <v>2</v>
      </c>
    </row>
    <row r="23" customFormat="false" ht="23.85" hidden="false" customHeight="false" outlineLevel="0" collapsed="false">
      <c r="A23" s="5" t="s">
        <v>165</v>
      </c>
      <c r="B23" s="5" t="s">
        <v>166</v>
      </c>
      <c r="C23" s="5" t="s">
        <v>167</v>
      </c>
      <c r="D23" s="5" t="s">
        <v>168</v>
      </c>
      <c r="E23" s="5" t="s">
        <v>169</v>
      </c>
      <c r="F23" s="5" t="s">
        <v>170</v>
      </c>
    </row>
    <row r="24" customFormat="false" ht="15" hidden="false" customHeight="false" outlineLevel="0" collapsed="false">
      <c r="A24" s="10" t="n">
        <v>0.9</v>
      </c>
      <c r="B24" s="17" t="n">
        <f aca="false">_xlfn.NORM.S.INV(A24)</f>
        <v>1.2815515655446</v>
      </c>
      <c r="C24" s="18" t="n">
        <f aca="false">B24*$B$19*SQRT($B$20)</f>
        <v>76.8930939326761</v>
      </c>
      <c r="D24" s="18" t="n">
        <f aca="false">B24*SQRT($B$20*$B$19^2+$B$18^2*$B$21^2)</f>
        <v>218.991627516612</v>
      </c>
      <c r="E24" s="18" t="n">
        <f aca="false">$B$18*$B$20+C24</f>
        <v>796.893093932676</v>
      </c>
      <c r="F24" s="18" t="n">
        <f aca="false">$B$18*$B$20+D24</f>
        <v>938.991627516612</v>
      </c>
    </row>
    <row r="25" customFormat="false" ht="15" hidden="false" customHeight="false" outlineLevel="0" collapsed="false">
      <c r="A25" s="10" t="n">
        <v>0.95</v>
      </c>
      <c r="B25" s="17" t="n">
        <f aca="false">_xlfn.NORM.S.INV(A25)</f>
        <v>1.64485362695147</v>
      </c>
      <c r="C25" s="18" t="n">
        <f aca="false">B25*$B$19*SQRT($B$20)</f>
        <v>98.6912176170883</v>
      </c>
      <c r="D25" s="18" t="n">
        <f aca="false">B25*SQRT($B$20*$B$19^2+$B$18^2*$B$21^2)</f>
        <v>281.07271098345</v>
      </c>
      <c r="E25" s="18" t="n">
        <f aca="false">$B$18*$B$20+C25</f>
        <v>818.691217617088</v>
      </c>
      <c r="F25" s="18" t="n">
        <f aca="false">$B$18*$B$20+D25</f>
        <v>1001.07271098345</v>
      </c>
    </row>
    <row r="26" customFormat="false" ht="15" hidden="false" customHeight="false" outlineLevel="0" collapsed="false">
      <c r="A26" s="10" t="n">
        <v>0.98</v>
      </c>
      <c r="B26" s="17" t="n">
        <f aca="false">_xlfn.NORM.S.INV(A26)</f>
        <v>2.05374891063182</v>
      </c>
      <c r="C26" s="18" t="n">
        <f aca="false">B26*$B$19*SQRT($B$20)</f>
        <v>123.224934637909</v>
      </c>
      <c r="D26" s="18" t="n">
        <f aca="false">B26*SQRT($B$20*$B$19^2+$B$18^2*$B$21^2)</f>
        <v>350.944767687602</v>
      </c>
      <c r="E26" s="18" t="n">
        <f aca="false">$B$18*$B$20+C26</f>
        <v>843.224934637909</v>
      </c>
      <c r="F26" s="18" t="n">
        <f aca="false">$B$18*$B$20+D26</f>
        <v>1070.9447676876</v>
      </c>
    </row>
    <row r="27" customFormat="false" ht="15" hidden="false" customHeight="false" outlineLevel="0" collapsed="false">
      <c r="A27" s="10" t="n">
        <v>0.99</v>
      </c>
      <c r="B27" s="17" t="n">
        <f aca="false">_xlfn.NORM.S.INV(A27)</f>
        <v>2.32634787404084</v>
      </c>
      <c r="C27" s="18" t="n">
        <f aca="false">B27*$B$19*SQRT($B$20)</f>
        <v>139.58087244245</v>
      </c>
      <c r="D27" s="18" t="n">
        <f aca="false">B27*SQRT($B$20*$B$19^2+$B$18^2*$B$21^2)</f>
        <v>397.526498974328</v>
      </c>
      <c r="E27" s="18" t="n">
        <f aca="false">$B$18*$B$20+C27</f>
        <v>859.580872442451</v>
      </c>
      <c r="F27" s="18" t="n">
        <f aca="false">$B$18*$B$20+D27</f>
        <v>1117.52649897433</v>
      </c>
    </row>
    <row r="28" customFormat="false" ht="15" hidden="false" customHeight="false" outlineLevel="0" collapsed="false">
      <c r="A28" s="10" t="n">
        <v>0.999</v>
      </c>
      <c r="B28" s="17" t="n">
        <f aca="false">_xlfn.NORM.S.INV(A28)</f>
        <v>3.09023230616781</v>
      </c>
      <c r="C28" s="18" t="n">
        <f aca="false">B28*$B$19*SQRT($B$20)</f>
        <v>185.413938370069</v>
      </c>
      <c r="D28" s="18" t="n">
        <f aca="false">B28*SQRT($B$20*$B$19^2+$B$18^2*$B$21^2)</f>
        <v>528.059127955981</v>
      </c>
      <c r="E28" s="18" t="n">
        <f aca="false">$B$18*$B$20+C28</f>
        <v>905.413938370069</v>
      </c>
      <c r="F28" s="18" t="n">
        <f aca="false">$B$18*$B$20+D28</f>
        <v>1248.05912795598</v>
      </c>
    </row>
    <row r="31" customFormat="false" ht="15" hidden="false" customHeight="false" outlineLevel="0" collapsed="false">
      <c r="A31" s="5" t="s">
        <v>171</v>
      </c>
      <c r="B31" s="5" t="s">
        <v>172</v>
      </c>
      <c r="C31" s="5" t="s">
        <v>173</v>
      </c>
      <c r="D31" s="5" t="s">
        <v>174</v>
      </c>
      <c r="E31" s="5" t="s">
        <v>175</v>
      </c>
      <c r="F31" s="5" t="s">
        <v>176</v>
      </c>
    </row>
    <row r="32" customFormat="false" ht="15" hidden="false" customHeight="false" outlineLevel="0" collapsed="false">
      <c r="A32" s="6" t="s">
        <v>177</v>
      </c>
      <c r="B32" s="12" t="n">
        <v>1200</v>
      </c>
      <c r="C32" s="7" t="n">
        <v>95</v>
      </c>
      <c r="D32" s="13" t="n">
        <f aca="false">B32*C32</f>
        <v>114000</v>
      </c>
      <c r="E32" s="19" t="n">
        <f aca="false">D32/SUM($D$32:$D$41)</f>
        <v>0.338983050847458</v>
      </c>
      <c r="F32" s="6" t="n">
        <f aca="false">RANK(D32,$D$32:$D$41)</f>
        <v>1</v>
      </c>
    </row>
    <row r="33" customFormat="false" ht="15" hidden="false" customHeight="false" outlineLevel="0" collapsed="false">
      <c r="A33" s="6" t="s">
        <v>178</v>
      </c>
      <c r="B33" s="12" t="n">
        <v>300</v>
      </c>
      <c r="C33" s="7" t="n">
        <v>40</v>
      </c>
      <c r="D33" s="13" t="n">
        <f aca="false">B33*C33</f>
        <v>12000</v>
      </c>
      <c r="E33" s="19" t="n">
        <f aca="false">D33/SUM($D$32:$D$41)</f>
        <v>0.0356824264049955</v>
      </c>
      <c r="F33" s="6" t="n">
        <f aca="false">RANK(D33,$D$32:$D$41)</f>
        <v>6</v>
      </c>
    </row>
    <row r="34" customFormat="false" ht="15" hidden="false" customHeight="false" outlineLevel="0" collapsed="false">
      <c r="A34" s="6" t="s">
        <v>179</v>
      </c>
      <c r="B34" s="12" t="n">
        <v>8000</v>
      </c>
      <c r="C34" s="7" t="n">
        <v>2.5</v>
      </c>
      <c r="D34" s="13" t="n">
        <f aca="false">B34*C34</f>
        <v>20000</v>
      </c>
      <c r="E34" s="19" t="n">
        <f aca="false">D34/SUM($D$32:$D$41)</f>
        <v>0.0594707106749926</v>
      </c>
      <c r="F34" s="6" t="n">
        <f aca="false">RANK(D34,$D$32:$D$41)</f>
        <v>5</v>
      </c>
    </row>
    <row r="35" customFormat="false" ht="15" hidden="false" customHeight="false" outlineLevel="0" collapsed="false">
      <c r="A35" s="6" t="s">
        <v>180</v>
      </c>
      <c r="B35" s="12" t="n">
        <v>150</v>
      </c>
      <c r="C35" s="7" t="n">
        <v>320</v>
      </c>
      <c r="D35" s="13" t="n">
        <f aca="false">B35*C35</f>
        <v>48000</v>
      </c>
      <c r="E35" s="19" t="n">
        <f aca="false">D35/SUM($D$32:$D$41)</f>
        <v>0.142729705619982</v>
      </c>
      <c r="F35" s="6" t="n">
        <f aca="false">RANK(D35,$D$32:$D$41)</f>
        <v>3</v>
      </c>
    </row>
    <row r="36" customFormat="false" ht="15" hidden="false" customHeight="false" outlineLevel="0" collapsed="false">
      <c r="A36" s="6" t="s">
        <v>181</v>
      </c>
      <c r="B36" s="12" t="n">
        <v>2400</v>
      </c>
      <c r="C36" s="7" t="n">
        <v>18</v>
      </c>
      <c r="D36" s="13" t="n">
        <f aca="false">B36*C36</f>
        <v>43200</v>
      </c>
      <c r="E36" s="19" t="n">
        <f aca="false">D36/SUM($D$32:$D$41)</f>
        <v>0.128456735057984</v>
      </c>
      <c r="F36" s="6" t="n">
        <f aca="false">RANK(D36,$D$32:$D$41)</f>
        <v>4</v>
      </c>
    </row>
    <row r="37" customFormat="false" ht="15" hidden="false" customHeight="false" outlineLevel="0" collapsed="false">
      <c r="A37" s="6" t="s">
        <v>182</v>
      </c>
      <c r="B37" s="12" t="n">
        <v>600</v>
      </c>
      <c r="C37" s="7" t="n">
        <v>6</v>
      </c>
      <c r="D37" s="13" t="n">
        <f aca="false">B37*C37</f>
        <v>3600</v>
      </c>
      <c r="E37" s="19" t="n">
        <f aca="false">D37/SUM($D$32:$D$41)</f>
        <v>0.0107047279214987</v>
      </c>
      <c r="F37" s="6" t="n">
        <f aca="false">RANK(D37,$D$32:$D$41)</f>
        <v>9</v>
      </c>
    </row>
    <row r="38" customFormat="false" ht="15" hidden="false" customHeight="false" outlineLevel="0" collapsed="false">
      <c r="A38" s="6" t="s">
        <v>183</v>
      </c>
      <c r="B38" s="12" t="n">
        <v>90</v>
      </c>
      <c r="C38" s="7" t="n">
        <v>850</v>
      </c>
      <c r="D38" s="13" t="n">
        <f aca="false">B38*C38</f>
        <v>76500</v>
      </c>
      <c r="E38" s="19" t="n">
        <f aca="false">D38/SUM($D$32:$D$41)</f>
        <v>0.227475468331847</v>
      </c>
      <c r="F38" s="6" t="n">
        <f aca="false">RANK(D38,$D$32:$D$41)</f>
        <v>2</v>
      </c>
    </row>
    <row r="39" customFormat="false" ht="15" hidden="false" customHeight="false" outlineLevel="0" collapsed="false">
      <c r="A39" s="6" t="s">
        <v>184</v>
      </c>
      <c r="B39" s="12" t="n">
        <v>5000</v>
      </c>
      <c r="C39" s="7" t="n">
        <v>1.2</v>
      </c>
      <c r="D39" s="13" t="n">
        <f aca="false">B39*C39</f>
        <v>6000</v>
      </c>
      <c r="E39" s="19" t="n">
        <f aca="false">D39/SUM($D$32:$D$41)</f>
        <v>0.0178412132024978</v>
      </c>
      <c r="F39" s="6" t="n">
        <f aca="false">RANK(D39,$D$32:$D$41)</f>
        <v>8</v>
      </c>
    </row>
    <row r="40" customFormat="false" ht="15" hidden="false" customHeight="false" outlineLevel="0" collapsed="false">
      <c r="A40" s="6" t="s">
        <v>185</v>
      </c>
      <c r="B40" s="12" t="n">
        <v>1000</v>
      </c>
      <c r="C40" s="7" t="n">
        <v>12</v>
      </c>
      <c r="D40" s="13" t="n">
        <f aca="false">B40*C40</f>
        <v>12000</v>
      </c>
      <c r="E40" s="19" t="n">
        <f aca="false">D40/SUM($D$32:$D$41)</f>
        <v>0.0356824264049955</v>
      </c>
      <c r="F40" s="6" t="n">
        <f aca="false">RANK(D40,$D$32:$D$41)</f>
        <v>6</v>
      </c>
    </row>
    <row r="41" customFormat="false" ht="15" hidden="false" customHeight="false" outlineLevel="0" collapsed="false">
      <c r="A41" s="6" t="s">
        <v>186</v>
      </c>
      <c r="B41" s="12" t="n">
        <v>250</v>
      </c>
      <c r="C41" s="7" t="n">
        <v>4</v>
      </c>
      <c r="D41" s="13" t="n">
        <f aca="false">B41*C41</f>
        <v>1000</v>
      </c>
      <c r="E41" s="19" t="n">
        <f aca="false">D41/SUM($D$32:$D$41)</f>
        <v>0.00297353553374963</v>
      </c>
      <c r="F41" s="6" t="n">
        <f aca="false">RANK(D41,$D$32:$D$41)</f>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15" min="2" style="0" width="14"/>
  </cols>
  <sheetData>
    <row r="1" customFormat="false" ht="16.15" hidden="false" customHeight="false" outlineLevel="0" collapsed="false">
      <c r="A1" s="1" t="s">
        <v>187</v>
      </c>
    </row>
    <row r="2" customFormat="false" ht="15" hidden="false" customHeight="false" outlineLevel="0" collapsed="false">
      <c r="A2" s="4" t="s">
        <v>188</v>
      </c>
    </row>
    <row r="4" customFormat="false" ht="15" hidden="false" customHeight="false" outlineLevel="0" collapsed="false">
      <c r="A4" s="6" t="s">
        <v>189</v>
      </c>
      <c r="B4" s="12" t="n">
        <v>5000</v>
      </c>
    </row>
    <row r="5" customFormat="false" ht="15" hidden="false" customHeight="false" outlineLevel="0" collapsed="false">
      <c r="A5" s="6" t="s">
        <v>190</v>
      </c>
      <c r="B5" s="12" t="n">
        <v>4710</v>
      </c>
    </row>
    <row r="6" customFormat="false" ht="15" hidden="false" customHeight="false" outlineLevel="0" collapsed="false">
      <c r="A6" s="6" t="s">
        <v>191</v>
      </c>
      <c r="B6" s="12" t="n">
        <v>182000</v>
      </c>
    </row>
    <row r="7" customFormat="false" ht="15" hidden="false" customHeight="false" outlineLevel="0" collapsed="false">
      <c r="A7" s="6" t="s">
        <v>192</v>
      </c>
      <c r="B7" s="12" t="n">
        <v>176722</v>
      </c>
    </row>
    <row r="8" customFormat="false" ht="15" hidden="false" customHeight="false" outlineLevel="0" collapsed="false">
      <c r="A8" s="6" t="s">
        <v>193</v>
      </c>
      <c r="B8" s="20" t="n">
        <v>42</v>
      </c>
    </row>
    <row r="9" customFormat="false" ht="15" hidden="false" customHeight="false" outlineLevel="0" collapsed="false">
      <c r="A9" s="6" t="s">
        <v>194</v>
      </c>
      <c r="B9" s="20" t="n">
        <v>5</v>
      </c>
    </row>
    <row r="10" customFormat="false" ht="15" hidden="false" customHeight="false" outlineLevel="0" collapsed="false">
      <c r="A10" s="6" t="s">
        <v>195</v>
      </c>
      <c r="B10" s="10" t="n">
        <v>0.175</v>
      </c>
    </row>
    <row r="12" customFormat="false" ht="15" hidden="false" customHeight="false" outlineLevel="0" collapsed="false">
      <c r="A12" s="6" t="s">
        <v>196</v>
      </c>
      <c r="B12" s="19" t="n">
        <f aca="false">B5/B4</f>
        <v>0.942</v>
      </c>
    </row>
    <row r="13" customFormat="false" ht="15" hidden="false" customHeight="false" outlineLevel="0" collapsed="false">
      <c r="A13" s="6" t="s">
        <v>197</v>
      </c>
      <c r="B13" s="19" t="n">
        <f aca="false">B7/B6</f>
        <v>0.971</v>
      </c>
    </row>
    <row r="14" customFormat="false" ht="15" hidden="false" customHeight="false" outlineLevel="0" collapsed="false">
      <c r="A14" s="6" t="s">
        <v>198</v>
      </c>
      <c r="B14" s="15" t="n">
        <f aca="false">B8/B9</f>
        <v>8.4</v>
      </c>
    </row>
    <row r="15" customFormat="false" ht="15" hidden="false" customHeight="false" outlineLevel="0" collapsed="false">
      <c r="A15" s="6" t="s">
        <v>199</v>
      </c>
      <c r="B15" s="18" t="n">
        <f aca="false">365/B14</f>
        <v>43.452380952381</v>
      </c>
    </row>
    <row r="16" customFormat="false" ht="15" hidden="false" customHeight="false" outlineLevel="0" collapsed="false">
      <c r="A16" s="6" t="s">
        <v>200</v>
      </c>
      <c r="B16" s="19" t="n">
        <f aca="false">1-B10</f>
        <v>0.825</v>
      </c>
    </row>
    <row r="18" customFormat="false" ht="15" hidden="false" customHeight="false" outlineLevel="0" collapsed="false">
      <c r="A18" s="5" t="s">
        <v>99</v>
      </c>
      <c r="B18" s="5" t="s">
        <v>201</v>
      </c>
      <c r="D18" s="5" t="s">
        <v>202</v>
      </c>
      <c r="E18" s="5" t="s">
        <v>203</v>
      </c>
    </row>
    <row r="19" customFormat="false" ht="15" hidden="false" customHeight="false" outlineLevel="0" collapsed="false">
      <c r="A19" s="6" t="n">
        <v>1</v>
      </c>
      <c r="B19" s="10" t="n">
        <v>0.921</v>
      </c>
      <c r="D19" s="6" t="s">
        <v>204</v>
      </c>
      <c r="E19" s="11" t="n">
        <v>38</v>
      </c>
    </row>
    <row r="20" customFormat="false" ht="15" hidden="false" customHeight="false" outlineLevel="0" collapsed="false">
      <c r="A20" s="6" t="n">
        <v>2</v>
      </c>
      <c r="B20" s="10" t="n">
        <v>0.93</v>
      </c>
      <c r="D20" s="6" t="s">
        <v>205</v>
      </c>
      <c r="E20" s="11" t="n">
        <v>21</v>
      </c>
    </row>
    <row r="21" customFormat="false" ht="15" hidden="false" customHeight="false" outlineLevel="0" collapsed="false">
      <c r="A21" s="6" t="n">
        <v>3</v>
      </c>
      <c r="B21" s="10" t="n">
        <v>0.938</v>
      </c>
      <c r="D21" s="6" t="s">
        <v>206</v>
      </c>
      <c r="E21" s="11" t="n">
        <v>55</v>
      </c>
    </row>
    <row r="22" customFormat="false" ht="15" hidden="false" customHeight="false" outlineLevel="0" collapsed="false">
      <c r="A22" s="6" t="n">
        <v>4</v>
      </c>
      <c r="B22" s="10" t="n">
        <v>0.925</v>
      </c>
      <c r="D22" s="6" t="s">
        <v>207</v>
      </c>
      <c r="E22" s="11" t="n">
        <v>17</v>
      </c>
    </row>
    <row r="23" customFormat="false" ht="15" hidden="false" customHeight="false" outlineLevel="0" collapsed="false">
      <c r="A23" s="6" t="n">
        <v>5</v>
      </c>
      <c r="B23" s="10" t="n">
        <v>0.94</v>
      </c>
    </row>
    <row r="24" customFormat="false" ht="15" hidden="false" customHeight="false" outlineLevel="0" collapsed="false">
      <c r="A24" s="6" t="n">
        <v>6</v>
      </c>
      <c r="B24" s="10" t="n">
        <v>0.946</v>
      </c>
    </row>
    <row r="25" customFormat="false" ht="15" hidden="false" customHeight="false" outlineLevel="0" collapsed="false">
      <c r="A25" s="6" t="n">
        <v>7</v>
      </c>
      <c r="B25" s="10" t="n">
        <v>0.932</v>
      </c>
    </row>
    <row r="26" customFormat="false" ht="15" hidden="false" customHeight="false" outlineLevel="0" collapsed="false">
      <c r="A26" s="6" t="n">
        <v>8</v>
      </c>
      <c r="B26" s="10" t="n">
        <v>0.948</v>
      </c>
    </row>
    <row r="27" customFormat="false" ht="15" hidden="false" customHeight="false" outlineLevel="0" collapsed="false">
      <c r="A27" s="6" t="n">
        <v>9</v>
      </c>
      <c r="B27" s="10" t="n">
        <v>0.951</v>
      </c>
    </row>
    <row r="28" customFormat="false" ht="15" hidden="false" customHeight="false" outlineLevel="0" collapsed="false">
      <c r="A28" s="6" t="n">
        <v>10</v>
      </c>
      <c r="B28" s="10" t="n">
        <v>0.94</v>
      </c>
    </row>
    <row r="29" customFormat="false" ht="15" hidden="false" customHeight="false" outlineLevel="0" collapsed="false">
      <c r="A29" s="6" t="n">
        <v>11</v>
      </c>
      <c r="B29" s="10" t="n">
        <v>0.939</v>
      </c>
    </row>
    <row r="30" customFormat="false" ht="15" hidden="false" customHeight="false" outlineLevel="0" collapsed="false">
      <c r="A30" s="6" t="n">
        <v>12</v>
      </c>
      <c r="B30" s="10" t="n">
        <v>0.942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15" min="2" style="0" width="14"/>
  </cols>
  <sheetData>
    <row r="1" customFormat="false" ht="16.15" hidden="false" customHeight="false" outlineLevel="0" collapsed="false">
      <c r="A1" s="1" t="s">
        <v>208</v>
      </c>
    </row>
    <row r="2" customFormat="false" ht="15" hidden="false" customHeight="false" outlineLevel="0" collapsed="false">
      <c r="A2" s="4" t="s">
        <v>209</v>
      </c>
    </row>
    <row r="3" customFormat="false" ht="15" hidden="false" customHeight="false" outlineLevel="0" collapsed="false">
      <c r="A3" s="5"/>
      <c r="B3" s="5" t="s">
        <v>210</v>
      </c>
      <c r="C3" s="5" t="s">
        <v>211</v>
      </c>
      <c r="D3" s="5" t="s">
        <v>64</v>
      </c>
    </row>
    <row r="4" customFormat="false" ht="15" hidden="false" customHeight="false" outlineLevel="0" collapsed="false">
      <c r="A4" s="6" t="s">
        <v>212</v>
      </c>
      <c r="B4" s="11" t="n">
        <v>20</v>
      </c>
      <c r="C4" s="11" t="n">
        <v>60</v>
      </c>
    </row>
    <row r="5" customFormat="false" ht="15" hidden="false" customHeight="false" outlineLevel="0" collapsed="false">
      <c r="A5" s="6" t="s">
        <v>213</v>
      </c>
      <c r="B5" s="11" t="n">
        <v>50</v>
      </c>
      <c r="C5" s="11" t="n">
        <v>40</v>
      </c>
      <c r="D5" s="6" t="n">
        <f aca="false">SUMPRODUCT(B4:C4,B5:C5)</f>
        <v>3400</v>
      </c>
    </row>
    <row r="7" customFormat="false" ht="15" hidden="false" customHeight="false" outlineLevel="0" collapsed="false">
      <c r="A7" s="5" t="s">
        <v>214</v>
      </c>
      <c r="B7" s="5" t="s">
        <v>215</v>
      </c>
      <c r="C7" s="5" t="s">
        <v>216</v>
      </c>
      <c r="D7" s="5" t="s">
        <v>217</v>
      </c>
      <c r="E7" s="5" t="s">
        <v>218</v>
      </c>
    </row>
    <row r="8" customFormat="false" ht="15" hidden="false" customHeight="false" outlineLevel="0" collapsed="false">
      <c r="A8" s="6" t="s">
        <v>219</v>
      </c>
      <c r="B8" s="11" t="n">
        <v>2</v>
      </c>
      <c r="C8" s="11" t="n">
        <v>1</v>
      </c>
      <c r="D8" s="6" t="n">
        <f aca="false">SUMPRODUCT($B$4:$C$4,B8:C8)</f>
        <v>100</v>
      </c>
      <c r="E8" s="11" t="n">
        <v>100</v>
      </c>
    </row>
    <row r="9" customFormat="false" ht="15" hidden="false" customHeight="false" outlineLevel="0" collapsed="false">
      <c r="A9" s="6" t="s">
        <v>220</v>
      </c>
      <c r="B9" s="11" t="n">
        <v>1</v>
      </c>
      <c r="C9" s="11" t="n">
        <v>1</v>
      </c>
      <c r="D9" s="6" t="n">
        <f aca="false">SUMPRODUCT($B$4:$C$4,B9:C9)</f>
        <v>80</v>
      </c>
      <c r="E9" s="11" t="n">
        <v>80</v>
      </c>
    </row>
    <row r="10" customFormat="false" ht="15" hidden="false" customHeight="false" outlineLevel="0" collapsed="false">
      <c r="A10" s="6" t="s">
        <v>221</v>
      </c>
      <c r="B10" s="11" t="n">
        <v>1</v>
      </c>
      <c r="C10" s="11" t="n">
        <v>0</v>
      </c>
      <c r="D10" s="6" t="n">
        <f aca="false">SUMPRODUCT($B$4:$C$4,B10:C10)</f>
        <v>20</v>
      </c>
      <c r="E10" s="11" t="n">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15" min="2" style="0" width="14"/>
  </cols>
  <sheetData>
    <row r="1" customFormat="false" ht="16.15" hidden="false" customHeight="false" outlineLevel="0" collapsed="false">
      <c r="A1" s="1" t="s">
        <v>222</v>
      </c>
    </row>
    <row r="2" customFormat="false" ht="15" hidden="false" customHeight="false" outlineLevel="0" collapsed="false">
      <c r="A2" s="4" t="s">
        <v>223</v>
      </c>
    </row>
    <row r="3" customFormat="false" ht="15" hidden="false" customHeight="false" outlineLevel="0" collapsed="false">
      <c r="A3" s="5" t="s">
        <v>224</v>
      </c>
      <c r="B3" s="5" t="s">
        <v>225</v>
      </c>
      <c r="C3" s="5" t="s">
        <v>226</v>
      </c>
      <c r="D3" s="5" t="s">
        <v>227</v>
      </c>
      <c r="E3" s="5" t="s">
        <v>228</v>
      </c>
      <c r="F3" s="5" t="s">
        <v>229</v>
      </c>
    </row>
    <row r="4" customFormat="false" ht="15" hidden="false" customHeight="false" outlineLevel="0" collapsed="false">
      <c r="A4" s="6" t="s">
        <v>230</v>
      </c>
      <c r="B4" s="11" t="n">
        <v>4</v>
      </c>
      <c r="C4" s="11" t="n">
        <v>6</v>
      </c>
      <c r="D4" s="11" t="n">
        <v>9</v>
      </c>
      <c r="E4" s="11" t="n">
        <v>5</v>
      </c>
      <c r="F4" s="12" t="n">
        <v>2500</v>
      </c>
    </row>
    <row r="5" customFormat="false" ht="15" hidden="false" customHeight="false" outlineLevel="0" collapsed="false">
      <c r="A5" s="6" t="s">
        <v>231</v>
      </c>
      <c r="B5" s="11" t="n">
        <v>7</v>
      </c>
      <c r="C5" s="11" t="n">
        <v>3</v>
      </c>
      <c r="D5" s="11" t="n">
        <v>4</v>
      </c>
      <c r="E5" s="11" t="n">
        <v>8</v>
      </c>
      <c r="F5" s="12" t="n">
        <v>3000</v>
      </c>
    </row>
    <row r="6" customFormat="false" ht="15" hidden="false" customHeight="false" outlineLevel="0" collapsed="false">
      <c r="A6" s="6" t="s">
        <v>232</v>
      </c>
      <c r="B6" s="11" t="n">
        <v>6</v>
      </c>
      <c r="C6" s="11" t="n">
        <v>8</v>
      </c>
      <c r="D6" s="11" t="n">
        <v>3</v>
      </c>
      <c r="E6" s="11" t="n">
        <v>4</v>
      </c>
      <c r="F6" s="12" t="n">
        <v>2000</v>
      </c>
    </row>
    <row r="7" customFormat="false" ht="15" hidden="false" customHeight="false" outlineLevel="0" collapsed="false">
      <c r="A7" s="6" t="s">
        <v>80</v>
      </c>
      <c r="B7" s="12" t="n">
        <v>1800</v>
      </c>
      <c r="C7" s="12" t="n">
        <v>2200</v>
      </c>
      <c r="D7" s="12" t="n">
        <v>1500</v>
      </c>
      <c r="E7" s="12" t="n">
        <v>2000</v>
      </c>
    </row>
    <row r="9" customFormat="false" ht="15" hidden="false" customHeight="false" outlineLevel="0" collapsed="false">
      <c r="A9" s="5" t="s">
        <v>81</v>
      </c>
      <c r="B9" s="5" t="s">
        <v>225</v>
      </c>
      <c r="C9" s="5" t="s">
        <v>226</v>
      </c>
      <c r="D9" s="5" t="s">
        <v>227</v>
      </c>
      <c r="E9" s="5" t="s">
        <v>228</v>
      </c>
      <c r="F9" s="5" t="s">
        <v>82</v>
      </c>
    </row>
    <row r="10" customFormat="false" ht="15" hidden="false" customHeight="false" outlineLevel="0" collapsed="false">
      <c r="A10" s="6" t="s">
        <v>230</v>
      </c>
      <c r="B10" s="12" t="n">
        <v>1800</v>
      </c>
      <c r="C10" s="12" t="n">
        <v>0</v>
      </c>
      <c r="D10" s="12" t="n">
        <v>0</v>
      </c>
      <c r="E10" s="12" t="n">
        <v>700</v>
      </c>
      <c r="F10" s="13" t="n">
        <f aca="false">SUM(B10:E10)</f>
        <v>2500</v>
      </c>
    </row>
    <row r="11" customFormat="false" ht="15" hidden="false" customHeight="false" outlineLevel="0" collapsed="false">
      <c r="A11" s="6" t="s">
        <v>231</v>
      </c>
      <c r="B11" s="12" t="n">
        <v>0</v>
      </c>
      <c r="C11" s="12" t="n">
        <v>2200</v>
      </c>
      <c r="D11" s="12" t="n">
        <v>800</v>
      </c>
      <c r="E11" s="12" t="n">
        <v>0</v>
      </c>
      <c r="F11" s="13" t="n">
        <f aca="false">SUM(B11:E11)</f>
        <v>3000</v>
      </c>
    </row>
    <row r="12" customFormat="false" ht="15" hidden="false" customHeight="false" outlineLevel="0" collapsed="false">
      <c r="A12" s="6" t="s">
        <v>232</v>
      </c>
      <c r="B12" s="12" t="n">
        <v>0</v>
      </c>
      <c r="C12" s="12" t="n">
        <v>0</v>
      </c>
      <c r="D12" s="12" t="n">
        <v>700</v>
      </c>
      <c r="E12" s="12" t="n">
        <v>1300</v>
      </c>
      <c r="F12" s="13" t="n">
        <f aca="false">SUM(B12:E12)</f>
        <v>2000</v>
      </c>
    </row>
    <row r="13" customFormat="false" ht="15" hidden="false" customHeight="false" outlineLevel="0" collapsed="false">
      <c r="A13" s="6" t="s">
        <v>85</v>
      </c>
      <c r="B13" s="13" t="n">
        <f aca="false">SUM(B10:B12)</f>
        <v>1800</v>
      </c>
      <c r="C13" s="13" t="n">
        <f aca="false">SUM(C10:C12)</f>
        <v>2200</v>
      </c>
      <c r="D13" s="13" t="n">
        <f aca="false">SUM(D10:D12)</f>
        <v>1500</v>
      </c>
      <c r="E13" s="13" t="n">
        <f aca="false">SUM(E10:E12)</f>
        <v>2000</v>
      </c>
    </row>
    <row r="15" customFormat="false" ht="15" hidden="false" customHeight="false" outlineLevel="0" collapsed="false">
      <c r="A15" s="6" t="s">
        <v>87</v>
      </c>
      <c r="B15" s="13" t="n">
        <f aca="false">SUMPRODUCT(B4:E6,B10:E12)</f>
        <v>27800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15" min="2" style="0" width="14"/>
  </cols>
  <sheetData>
    <row r="1" customFormat="false" ht="16.15" hidden="false" customHeight="false" outlineLevel="0" collapsed="false">
      <c r="A1" s="1" t="s">
        <v>233</v>
      </c>
    </row>
    <row r="2" customFormat="false" ht="15" hidden="false" customHeight="false" outlineLevel="0" collapsed="false">
      <c r="A2" s="4" t="s">
        <v>234</v>
      </c>
    </row>
    <row r="4" customFormat="false" ht="15" hidden="false" customHeight="false" outlineLevel="0" collapsed="false">
      <c r="A4" s="6" t="s">
        <v>235</v>
      </c>
      <c r="B4" s="11" t="n">
        <v>3.2</v>
      </c>
    </row>
    <row r="5" customFormat="false" ht="15" hidden="false" customHeight="false" outlineLevel="0" collapsed="false">
      <c r="A5" s="6" t="s">
        <v>236</v>
      </c>
      <c r="B5" s="10" t="n">
        <v>0.1</v>
      </c>
    </row>
    <row r="7" customFormat="false" ht="15" hidden="false" customHeight="false" outlineLevel="0" collapsed="false">
      <c r="A7" s="5" t="s">
        <v>237</v>
      </c>
      <c r="B7" s="5" t="s">
        <v>238</v>
      </c>
      <c r="C7" s="5" t="s">
        <v>239</v>
      </c>
      <c r="D7" s="5" t="s">
        <v>240</v>
      </c>
      <c r="E7" s="5" t="s">
        <v>241</v>
      </c>
      <c r="F7" s="5" t="s">
        <v>242</v>
      </c>
      <c r="G7" s="5" t="s">
        <v>243</v>
      </c>
      <c r="H7" s="5" t="s">
        <v>244</v>
      </c>
      <c r="I7" s="5" t="s">
        <v>245</v>
      </c>
      <c r="J7" s="5" t="s">
        <v>246</v>
      </c>
      <c r="K7" s="5" t="s">
        <v>247</v>
      </c>
      <c r="L7" s="6" t="s">
        <v>248</v>
      </c>
    </row>
    <row r="8" customFormat="false" ht="15" hidden="false" customHeight="false" outlineLevel="0" collapsed="false">
      <c r="A8" s="6" t="s">
        <v>249</v>
      </c>
      <c r="B8" s="11" t="n">
        <v>0.6</v>
      </c>
      <c r="C8" s="6" t="n">
        <f aca="false">$B8</f>
        <v>0.6</v>
      </c>
      <c r="D8" s="6" t="n">
        <f aca="false">$B8</f>
        <v>0.6</v>
      </c>
      <c r="E8" s="6" t="n">
        <f aca="false">$B8</f>
        <v>0.6</v>
      </c>
      <c r="F8" s="6" t="n">
        <f aca="false">$B8</f>
        <v>0.6</v>
      </c>
      <c r="G8" s="6" t="n">
        <f aca="false">$B8</f>
        <v>0.6</v>
      </c>
      <c r="H8" s="6" t="n">
        <f aca="false">$B8</f>
        <v>0.6</v>
      </c>
      <c r="I8" s="6" t="n">
        <f aca="false">$B8</f>
        <v>0.6</v>
      </c>
      <c r="J8" s="8" t="n">
        <f aca="false">NPV($B$5,C8:I8)-$B$4</f>
        <v>-0.278948709384242</v>
      </c>
      <c r="K8" s="19" t="n">
        <f aca="false">IRR(L8:S8)</f>
        <v>0.0730023634507936</v>
      </c>
      <c r="L8" s="6" t="n">
        <f aca="false">-$B$4</f>
        <v>-3.2</v>
      </c>
      <c r="M8" s="6" t="n">
        <f aca="false">$B8</f>
        <v>0.6</v>
      </c>
      <c r="N8" s="6" t="n">
        <f aca="false">$B8</f>
        <v>0.6</v>
      </c>
      <c r="O8" s="6" t="n">
        <f aca="false">$B8</f>
        <v>0.6</v>
      </c>
      <c r="P8" s="6" t="n">
        <f aca="false">$B8</f>
        <v>0.6</v>
      </c>
      <c r="Q8" s="6" t="n">
        <f aca="false">$B8</f>
        <v>0.6</v>
      </c>
      <c r="R8" s="6" t="n">
        <f aca="false">$B8</f>
        <v>0.6</v>
      </c>
      <c r="S8" s="6" t="n">
        <f aca="false">$B8</f>
        <v>0.6</v>
      </c>
    </row>
    <row r="9" customFormat="false" ht="15" hidden="false" customHeight="false" outlineLevel="0" collapsed="false">
      <c r="A9" s="6" t="s">
        <v>250</v>
      </c>
      <c r="B9" s="11" t="n">
        <v>0.9</v>
      </c>
      <c r="C9" s="6" t="n">
        <f aca="false">$B9</f>
        <v>0.9</v>
      </c>
      <c r="D9" s="6" t="n">
        <f aca="false">$B9</f>
        <v>0.9</v>
      </c>
      <c r="E9" s="6" t="n">
        <f aca="false">$B9</f>
        <v>0.9</v>
      </c>
      <c r="F9" s="6" t="n">
        <f aca="false">$B9</f>
        <v>0.9</v>
      </c>
      <c r="G9" s="6" t="n">
        <f aca="false">$B9</f>
        <v>0.9</v>
      </c>
      <c r="H9" s="6" t="n">
        <f aca="false">$B9</f>
        <v>0.9</v>
      </c>
      <c r="I9" s="6" t="n">
        <f aca="false">$B9</f>
        <v>0.9</v>
      </c>
      <c r="J9" s="8" t="n">
        <f aca="false">NPV($B$5,C9:I9)-$B$4</f>
        <v>1.18157693592364</v>
      </c>
      <c r="K9" s="19" t="n">
        <f aca="false">IRR(L9:S9)</f>
        <v>0.205017849586705</v>
      </c>
      <c r="L9" s="6" t="n">
        <f aca="false">-$B$4</f>
        <v>-3.2</v>
      </c>
      <c r="M9" s="6" t="n">
        <f aca="false">$B9</f>
        <v>0.9</v>
      </c>
      <c r="N9" s="6" t="n">
        <f aca="false">$B9</f>
        <v>0.9</v>
      </c>
      <c r="O9" s="6" t="n">
        <f aca="false">$B9</f>
        <v>0.9</v>
      </c>
      <c r="P9" s="6" t="n">
        <f aca="false">$B9</f>
        <v>0.9</v>
      </c>
      <c r="Q9" s="6" t="n">
        <f aca="false">$B9</f>
        <v>0.9</v>
      </c>
      <c r="R9" s="6" t="n">
        <f aca="false">$B9</f>
        <v>0.9</v>
      </c>
      <c r="S9" s="6" t="n">
        <f aca="false">$B9</f>
        <v>0.9</v>
      </c>
    </row>
    <row r="10" customFormat="false" ht="15" hidden="false" customHeight="false" outlineLevel="0" collapsed="false">
      <c r="A10" s="6" t="s">
        <v>251</v>
      </c>
      <c r="B10" s="11" t="n">
        <v>1.15</v>
      </c>
      <c r="C10" s="6" t="n">
        <f aca="false">$B10</f>
        <v>1.15</v>
      </c>
      <c r="D10" s="6" t="n">
        <f aca="false">$B10</f>
        <v>1.15</v>
      </c>
      <c r="E10" s="6" t="n">
        <f aca="false">$B10</f>
        <v>1.15</v>
      </c>
      <c r="F10" s="6" t="n">
        <f aca="false">$B10</f>
        <v>1.15</v>
      </c>
      <c r="G10" s="6" t="n">
        <f aca="false">$B10</f>
        <v>1.15</v>
      </c>
      <c r="H10" s="6" t="n">
        <f aca="false">$B10</f>
        <v>1.15</v>
      </c>
      <c r="I10" s="6" t="n">
        <f aca="false">$B10</f>
        <v>1.15</v>
      </c>
      <c r="J10" s="8" t="n">
        <f aca="false">NPV($B$5,C10:I10)-$B$4</f>
        <v>2.39868164034687</v>
      </c>
      <c r="K10" s="19" t="n">
        <f aca="false">IRR(L10:S10)</f>
        <v>0.3030278461675</v>
      </c>
      <c r="L10" s="6" t="n">
        <f aca="false">-$B$4</f>
        <v>-3.2</v>
      </c>
      <c r="M10" s="6" t="n">
        <f aca="false">$B10</f>
        <v>1.15</v>
      </c>
      <c r="N10" s="6" t="n">
        <f aca="false">$B10</f>
        <v>1.15</v>
      </c>
      <c r="O10" s="6" t="n">
        <f aca="false">$B10</f>
        <v>1.15</v>
      </c>
      <c r="P10" s="6" t="n">
        <f aca="false">$B10</f>
        <v>1.15</v>
      </c>
      <c r="Q10" s="6" t="n">
        <f aca="false">$B10</f>
        <v>1.15</v>
      </c>
      <c r="R10" s="6" t="n">
        <f aca="false">$B10</f>
        <v>1.15</v>
      </c>
      <c r="S10" s="6" t="n">
        <f aca="false">$B10</f>
        <v>1.15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15" min="2" style="0" width="14"/>
  </cols>
  <sheetData>
    <row r="1" customFormat="false" ht="16.15" hidden="false" customHeight="false" outlineLevel="0" collapsed="false">
      <c r="A1" s="1" t="s">
        <v>252</v>
      </c>
    </row>
    <row r="2" customFormat="false" ht="15" hidden="false" customHeight="false" outlineLevel="0" collapsed="false">
      <c r="A2" s="4" t="s">
        <v>253</v>
      </c>
    </row>
    <row r="4" customFormat="false" ht="15" hidden="false" customHeight="false" outlineLevel="0" collapsed="false">
      <c r="A4" s="5" t="s">
        <v>254</v>
      </c>
      <c r="B4" s="5" t="s">
        <v>255</v>
      </c>
      <c r="C4" s="5" t="s">
        <v>256</v>
      </c>
      <c r="D4" s="5" t="s">
        <v>257</v>
      </c>
    </row>
    <row r="5" customFormat="false" ht="15" hidden="false" customHeight="false" outlineLevel="0" collapsed="false">
      <c r="A5" s="6" t="s">
        <v>258</v>
      </c>
      <c r="B5" s="11" t="n">
        <v>2</v>
      </c>
      <c r="C5" s="11" t="n">
        <v>5</v>
      </c>
      <c r="D5" s="6" t="n">
        <f aca="false">B5*C5</f>
        <v>10</v>
      </c>
    </row>
    <row r="6" customFormat="false" ht="15" hidden="false" customHeight="false" outlineLevel="0" collapsed="false">
      <c r="A6" s="6" t="s">
        <v>259</v>
      </c>
      <c r="B6" s="11" t="n">
        <v>3</v>
      </c>
      <c r="C6" s="11" t="n">
        <v>4</v>
      </c>
      <c r="D6" s="6" t="n">
        <f aca="false">B6*C6</f>
        <v>12</v>
      </c>
    </row>
    <row r="7" customFormat="false" ht="15" hidden="false" customHeight="false" outlineLevel="0" collapsed="false">
      <c r="A7" s="6" t="s">
        <v>260</v>
      </c>
      <c r="B7" s="11" t="n">
        <v>2</v>
      </c>
      <c r="C7" s="11" t="n">
        <v>5</v>
      </c>
      <c r="D7" s="6" t="n">
        <f aca="false">B7*C7</f>
        <v>10</v>
      </c>
    </row>
    <row r="8" customFormat="false" ht="15" hidden="false" customHeight="false" outlineLevel="0" collapsed="false">
      <c r="A8" s="6" t="s">
        <v>261</v>
      </c>
      <c r="B8" s="11" t="n">
        <v>4</v>
      </c>
      <c r="C8" s="11" t="n">
        <v>2</v>
      </c>
      <c r="D8" s="6" t="n">
        <f aca="false">B8*C8</f>
        <v>8</v>
      </c>
    </row>
    <row r="9" customFormat="false" ht="15" hidden="false" customHeight="false" outlineLevel="0" collapsed="false">
      <c r="A9" s="6" t="s">
        <v>262</v>
      </c>
      <c r="B9" s="11" t="n">
        <v>4</v>
      </c>
      <c r="C9" s="11" t="n">
        <v>3</v>
      </c>
      <c r="D9" s="6" t="n">
        <f aca="false">B9*C9</f>
        <v>12</v>
      </c>
    </row>
    <row r="10" customFormat="false" ht="15" hidden="false" customHeight="false" outlineLevel="0" collapsed="false">
      <c r="A10" s="6" t="s">
        <v>263</v>
      </c>
      <c r="B10" s="11" t="n">
        <v>3</v>
      </c>
      <c r="C10" s="11" t="n">
        <v>2</v>
      </c>
      <c r="D10" s="6" t="n">
        <f aca="false">B10*C10</f>
        <v>6</v>
      </c>
    </row>
    <row r="11" customFormat="false" ht="15" hidden="false" customHeight="false" outlineLevel="0" collapsed="false">
      <c r="A11" s="6" t="s">
        <v>264</v>
      </c>
      <c r="B11" s="11" t="n">
        <v>2</v>
      </c>
      <c r="C11" s="11" t="n">
        <v>4</v>
      </c>
      <c r="D11" s="6" t="n">
        <f aca="false">B11*C11</f>
        <v>8</v>
      </c>
    </row>
    <row r="12" customFormat="false" ht="15" hidden="false" customHeight="false" outlineLevel="0" collapsed="false">
      <c r="A12" s="6" t="s">
        <v>265</v>
      </c>
      <c r="B12" s="11" t="n">
        <v>3</v>
      </c>
      <c r="C12" s="11" t="n">
        <v>3</v>
      </c>
      <c r="D12" s="6" t="n">
        <f aca="false">B12*C12</f>
        <v>9</v>
      </c>
    </row>
    <row r="15" customFormat="false" ht="15" hidden="false" customHeight="false" outlineLevel="0" collapsed="false">
      <c r="A15" s="5" t="s">
        <v>266</v>
      </c>
      <c r="B15" s="5" t="s">
        <v>267</v>
      </c>
      <c r="C15" s="5" t="s">
        <v>268</v>
      </c>
      <c r="D15" s="5" t="s">
        <v>269</v>
      </c>
      <c r="E15" s="5" t="s">
        <v>270</v>
      </c>
    </row>
    <row r="16" customFormat="false" ht="15" hidden="false" customHeight="false" outlineLevel="0" collapsed="false">
      <c r="A16" s="6" t="s">
        <v>271</v>
      </c>
      <c r="B16" s="11" t="n">
        <v>6</v>
      </c>
      <c r="C16" s="11" t="n">
        <v>8</v>
      </c>
      <c r="D16" s="11" t="n">
        <v>5</v>
      </c>
      <c r="E16" s="6" t="n">
        <f aca="false">B16*C16*D16</f>
        <v>240</v>
      </c>
    </row>
    <row r="17" customFormat="false" ht="15" hidden="false" customHeight="false" outlineLevel="0" collapsed="false">
      <c r="A17" s="6" t="s">
        <v>272</v>
      </c>
      <c r="B17" s="11" t="n">
        <v>7</v>
      </c>
      <c r="C17" s="11" t="n">
        <v>6</v>
      </c>
      <c r="D17" s="11" t="n">
        <v>3</v>
      </c>
      <c r="E17" s="6" t="n">
        <f aca="false">B17*C17*D17</f>
        <v>126</v>
      </c>
    </row>
    <row r="18" customFormat="false" ht="15" hidden="false" customHeight="false" outlineLevel="0" collapsed="false">
      <c r="A18" s="6" t="s">
        <v>273</v>
      </c>
      <c r="B18" s="11" t="n">
        <v>3</v>
      </c>
      <c r="C18" s="11" t="n">
        <v>9</v>
      </c>
      <c r="D18" s="11" t="n">
        <v>4</v>
      </c>
      <c r="E18" s="6" t="n">
        <f aca="false">B18*C18*D18</f>
        <v>108</v>
      </c>
    </row>
    <row r="19" customFormat="false" ht="15" hidden="false" customHeight="false" outlineLevel="0" collapsed="false">
      <c r="A19" s="6" t="s">
        <v>274</v>
      </c>
      <c r="B19" s="11" t="n">
        <v>5</v>
      </c>
      <c r="C19" s="11" t="n">
        <v>4</v>
      </c>
      <c r="D19" s="11" t="n">
        <v>6</v>
      </c>
      <c r="E19" s="6" t="n">
        <f aca="false">B19*C19*D19</f>
        <v>120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15" min="2" style="0" width="14"/>
  </cols>
  <sheetData>
    <row r="1" customFormat="false" ht="16.15" hidden="false" customHeight="false" outlineLevel="0" collapsed="false">
      <c r="A1" s="1" t="s">
        <v>275</v>
      </c>
    </row>
    <row r="2" customFormat="false" ht="15" hidden="false" customHeight="false" outlineLevel="0" collapsed="false">
      <c r="A2" s="4" t="s">
        <v>276</v>
      </c>
    </row>
    <row r="4" customFormat="false" ht="15" hidden="false" customHeight="false" outlineLevel="0" collapsed="false">
      <c r="A4" s="6" t="s">
        <v>277</v>
      </c>
      <c r="B4" s="20" t="n">
        <v>365</v>
      </c>
    </row>
    <row r="5" customFormat="false" ht="15" hidden="false" customHeight="false" outlineLevel="0" collapsed="false">
      <c r="A5" s="6" t="s">
        <v>278</v>
      </c>
      <c r="B5" s="20" t="n">
        <v>255.5</v>
      </c>
    </row>
    <row r="6" customFormat="false" ht="15" hidden="false" customHeight="false" outlineLevel="0" collapsed="false">
      <c r="A6" s="6" t="s">
        <v>279</v>
      </c>
      <c r="B6" s="20" t="n">
        <v>49</v>
      </c>
    </row>
    <row r="7" customFormat="false" ht="15" hidden="false" customHeight="false" outlineLevel="0" collapsed="false">
      <c r="A7" s="6" t="s">
        <v>280</v>
      </c>
      <c r="B7" s="20" t="n">
        <v>45</v>
      </c>
    </row>
    <row r="8" customFormat="false" ht="15" hidden="false" customHeight="false" outlineLevel="0" collapsed="false">
      <c r="A8" s="6" t="s">
        <v>281</v>
      </c>
      <c r="B8" s="20" t="n">
        <v>35</v>
      </c>
    </row>
    <row r="9" customFormat="false" ht="15" hidden="false" customHeight="false" outlineLevel="0" collapsed="false">
      <c r="A9" s="6" t="s">
        <v>282</v>
      </c>
      <c r="B9" s="10" t="n">
        <v>0.09</v>
      </c>
    </row>
    <row r="11" customFormat="false" ht="15" hidden="false" customHeight="false" outlineLevel="0" collapsed="false">
      <c r="A11" s="6" t="s">
        <v>283</v>
      </c>
      <c r="B11" s="15" t="n">
        <f aca="false">B6/B5*365</f>
        <v>70</v>
      </c>
    </row>
    <row r="12" customFormat="false" ht="15" hidden="false" customHeight="false" outlineLevel="0" collapsed="false">
      <c r="A12" s="6" t="s">
        <v>284</v>
      </c>
      <c r="B12" s="15" t="n">
        <f aca="false">B7/B4*365</f>
        <v>45</v>
      </c>
    </row>
    <row r="13" customFormat="false" ht="15" hidden="false" customHeight="false" outlineLevel="0" collapsed="false">
      <c r="A13" s="6" t="s">
        <v>285</v>
      </c>
      <c r="B13" s="15" t="n">
        <f aca="false">B8/B5*365</f>
        <v>50</v>
      </c>
    </row>
    <row r="14" customFormat="false" ht="15" hidden="false" customHeight="false" outlineLevel="0" collapsed="false">
      <c r="A14" s="6" t="s">
        <v>286</v>
      </c>
      <c r="B14" s="15" t="n">
        <f aca="false">B11+B12-B13</f>
        <v>65</v>
      </c>
    </row>
    <row r="16" customFormat="false" ht="15" hidden="false" customHeight="false" outlineLevel="0" collapsed="false">
      <c r="A16" s="6" t="s">
        <v>287</v>
      </c>
      <c r="B16" s="11" t="n">
        <v>15</v>
      </c>
    </row>
    <row r="17" customFormat="false" ht="15" hidden="false" customHeight="false" outlineLevel="0" collapsed="false">
      <c r="A17" s="6" t="s">
        <v>288</v>
      </c>
      <c r="B17" s="11" t="n">
        <v>10</v>
      </c>
    </row>
    <row r="18" customFormat="false" ht="15" hidden="false" customHeight="false" outlineLevel="0" collapsed="false">
      <c r="A18" s="6" t="s">
        <v>289</v>
      </c>
      <c r="B18" s="11" t="n">
        <v>0</v>
      </c>
    </row>
    <row r="20" customFormat="false" ht="15" hidden="false" customHeight="false" outlineLevel="0" collapsed="false">
      <c r="A20" s="6" t="s">
        <v>290</v>
      </c>
      <c r="B20" s="15" t="n">
        <f aca="false">B14-B16-B17-B18</f>
        <v>40</v>
      </c>
    </row>
    <row r="21" customFormat="false" ht="15" hidden="false" customHeight="false" outlineLevel="0" collapsed="false">
      <c r="A21" s="6" t="s">
        <v>291</v>
      </c>
      <c r="B21" s="8" t="n">
        <f aca="false">(B16+B17)*B5/365+B18*B4/365</f>
        <v>17.5</v>
      </c>
    </row>
    <row r="22" customFormat="false" ht="15" hidden="false" customHeight="false" outlineLevel="0" collapsed="false">
      <c r="A22" s="6" t="s">
        <v>292</v>
      </c>
      <c r="B22" s="17" t="n">
        <f aca="false">B21*B9</f>
        <v>1.575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15" min="2" style="0" width="14"/>
  </cols>
  <sheetData>
    <row r="1" customFormat="false" ht="16.15" hidden="false" customHeight="false" outlineLevel="0" collapsed="false">
      <c r="A1" s="1" t="s">
        <v>293</v>
      </c>
    </row>
    <row r="2" customFormat="false" ht="15" hidden="false" customHeight="false" outlineLevel="0" collapsed="false">
      <c r="A2" s="4" t="s">
        <v>294</v>
      </c>
    </row>
    <row r="4" customFormat="false" ht="15" hidden="false" customHeight="false" outlineLevel="0" collapsed="false">
      <c r="A4" s="6" t="s">
        <v>295</v>
      </c>
      <c r="B4" s="11" t="n">
        <v>12</v>
      </c>
    </row>
    <row r="5" customFormat="false" ht="15" hidden="false" customHeight="false" outlineLevel="0" collapsed="false">
      <c r="A5" s="6" t="s">
        <v>296</v>
      </c>
      <c r="B5" s="11" t="n">
        <v>1.8</v>
      </c>
    </row>
    <row r="6" customFormat="false" ht="15" hidden="false" customHeight="false" outlineLevel="0" collapsed="false">
      <c r="A6" s="6" t="s">
        <v>297</v>
      </c>
      <c r="B6" s="21" t="n">
        <v>0.25</v>
      </c>
    </row>
    <row r="8" customFormat="false" ht="23.85" hidden="false" customHeight="false" outlineLevel="0" collapsed="false">
      <c r="A8" s="5" t="s">
        <v>298</v>
      </c>
      <c r="B8" s="5" t="s">
        <v>277</v>
      </c>
      <c r="C8" s="5" t="s">
        <v>299</v>
      </c>
      <c r="D8" s="5" t="s">
        <v>300</v>
      </c>
      <c r="E8" s="5" t="s">
        <v>301</v>
      </c>
      <c r="F8" s="5" t="s">
        <v>302</v>
      </c>
      <c r="G8" s="5" t="s">
        <v>303</v>
      </c>
      <c r="H8" s="5" t="s">
        <v>304</v>
      </c>
      <c r="I8" s="5" t="s">
        <v>305</v>
      </c>
      <c r="J8" s="5" t="s">
        <v>306</v>
      </c>
      <c r="K8" s="5" t="s">
        <v>307</v>
      </c>
      <c r="L8" s="5" t="s">
        <v>308</v>
      </c>
      <c r="M8" s="5" t="s">
        <v>309</v>
      </c>
      <c r="N8" s="5" t="s">
        <v>310</v>
      </c>
      <c r="O8" s="5" t="s">
        <v>311</v>
      </c>
    </row>
    <row r="9" customFormat="false" ht="15" hidden="false" customHeight="false" outlineLevel="0" collapsed="false">
      <c r="A9" s="6" t="s">
        <v>312</v>
      </c>
      <c r="B9" s="12" t="n">
        <v>4000000</v>
      </c>
      <c r="C9" s="21" t="n">
        <v>0.28</v>
      </c>
      <c r="D9" s="12" t="n">
        <v>520</v>
      </c>
      <c r="E9" s="12" t="n">
        <v>9800</v>
      </c>
      <c r="F9" s="7" t="n">
        <v>55</v>
      </c>
      <c r="G9" s="10" t="n">
        <v>0.01</v>
      </c>
      <c r="H9" s="13" t="n">
        <f aca="false">B9*C9</f>
        <v>1120000</v>
      </c>
      <c r="I9" s="13" t="n">
        <f aca="false">D9*$B$4</f>
        <v>6240</v>
      </c>
      <c r="J9" s="13" t="n">
        <f aca="false">E9*$B$5</f>
        <v>17640</v>
      </c>
      <c r="K9" s="13" t="n">
        <f aca="false">D9*F9</f>
        <v>28600</v>
      </c>
      <c r="L9" s="13" t="n">
        <f aca="false">B9*G9*$B$6</f>
        <v>10000</v>
      </c>
      <c r="M9" s="13" t="n">
        <f aca="false">SUM(I9:L9)</f>
        <v>62480</v>
      </c>
      <c r="N9" s="13" t="n">
        <f aca="false">H9-M9</f>
        <v>1057520</v>
      </c>
      <c r="O9" s="19" t="n">
        <f aca="false">N9/B9</f>
        <v>0.26438</v>
      </c>
    </row>
    <row r="10" customFormat="false" ht="15" hidden="false" customHeight="false" outlineLevel="0" collapsed="false">
      <c r="A10" s="6" t="s">
        <v>313</v>
      </c>
      <c r="B10" s="12" t="n">
        <v>900000</v>
      </c>
      <c r="C10" s="21" t="n">
        <v>0.34</v>
      </c>
      <c r="D10" s="12" t="n">
        <v>2600</v>
      </c>
      <c r="E10" s="12" t="n">
        <v>15600</v>
      </c>
      <c r="F10" s="7" t="n">
        <v>38</v>
      </c>
      <c r="G10" s="10" t="n">
        <v>0.03</v>
      </c>
      <c r="H10" s="13" t="n">
        <f aca="false">B10*C10</f>
        <v>306000</v>
      </c>
      <c r="I10" s="13" t="n">
        <f aca="false">D10*$B$4</f>
        <v>31200</v>
      </c>
      <c r="J10" s="13" t="n">
        <f aca="false">E10*$B$5</f>
        <v>28080</v>
      </c>
      <c r="K10" s="13" t="n">
        <f aca="false">D10*F10</f>
        <v>98800</v>
      </c>
      <c r="L10" s="13" t="n">
        <f aca="false">B10*G10*$B$6</f>
        <v>6750</v>
      </c>
      <c r="M10" s="13" t="n">
        <f aca="false">SUM(I10:L10)</f>
        <v>164830</v>
      </c>
      <c r="N10" s="13" t="n">
        <f aca="false">H10-M10</f>
        <v>141170</v>
      </c>
      <c r="O10" s="19" t="n">
        <f aca="false">N10/B10</f>
        <v>0.156855555555556</v>
      </c>
    </row>
    <row r="11" customFormat="false" ht="15" hidden="false" customHeight="false" outlineLevel="0" collapsed="false">
      <c r="A11" s="6" t="s">
        <v>314</v>
      </c>
      <c r="B11" s="12" t="n">
        <v>1500000</v>
      </c>
      <c r="C11" s="21" t="n">
        <v>0.3</v>
      </c>
      <c r="D11" s="12" t="n">
        <v>18000</v>
      </c>
      <c r="E11" s="12" t="n">
        <v>24000</v>
      </c>
      <c r="F11" s="7" t="n">
        <v>7.5</v>
      </c>
      <c r="G11" s="10" t="n">
        <v>0.08</v>
      </c>
      <c r="H11" s="13" t="n">
        <f aca="false">B11*C11</f>
        <v>450000</v>
      </c>
      <c r="I11" s="13" t="n">
        <f aca="false">D11*$B$4</f>
        <v>216000</v>
      </c>
      <c r="J11" s="13" t="n">
        <f aca="false">E11*$B$5</f>
        <v>43200</v>
      </c>
      <c r="K11" s="13" t="n">
        <f aca="false">D11*F11</f>
        <v>135000</v>
      </c>
      <c r="L11" s="13" t="n">
        <f aca="false">B11*G11*$B$6</f>
        <v>30000</v>
      </c>
      <c r="M11" s="13" t="n">
        <f aca="false">SUM(I11:L11)</f>
        <v>424200</v>
      </c>
      <c r="N11" s="13" t="n">
        <f aca="false">H11-M11</f>
        <v>25800</v>
      </c>
      <c r="O11" s="19" t="n">
        <f aca="false">N11/B11</f>
        <v>0.0172</v>
      </c>
    </row>
    <row r="12" customFormat="false" ht="15" hidden="false" customHeight="false" outlineLevel="0" collapsed="false">
      <c r="A12" s="6" t="s">
        <v>315</v>
      </c>
      <c r="B12" s="12" t="n">
        <v>2200000</v>
      </c>
      <c r="C12" s="21" t="n">
        <v>0.22</v>
      </c>
      <c r="D12" s="12" t="n">
        <v>300</v>
      </c>
      <c r="E12" s="12" t="n">
        <v>3600</v>
      </c>
      <c r="F12" s="7" t="n">
        <v>260</v>
      </c>
      <c r="G12" s="10" t="n">
        <v>0.005</v>
      </c>
      <c r="H12" s="13" t="n">
        <f aca="false">B12*C12</f>
        <v>484000</v>
      </c>
      <c r="I12" s="13" t="n">
        <f aca="false">D12*$B$4</f>
        <v>3600</v>
      </c>
      <c r="J12" s="13" t="n">
        <f aca="false">E12*$B$5</f>
        <v>6480</v>
      </c>
      <c r="K12" s="13" t="n">
        <f aca="false">D12*F12</f>
        <v>78000</v>
      </c>
      <c r="L12" s="13" t="n">
        <f aca="false">B12*G12*$B$6</f>
        <v>2750</v>
      </c>
      <c r="M12" s="13" t="n">
        <f aca="false">SUM(I12:L12)</f>
        <v>90830</v>
      </c>
      <c r="N12" s="13" t="n">
        <f aca="false">H12-M12</f>
        <v>393170</v>
      </c>
      <c r="O12" s="19" t="n">
        <f aca="false">N12/B12</f>
        <v>0.178713636363636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2026-10-09T03:20:55Z</dcterms:created>
  <dc:creator>openpyxl</dc:creator>
  <dc:description/>
  <dc:language>en-US</dc:language>
  <cp:lastModifiedBy/>
  <dcterms:modified xsi:type="dcterms:W3CDTF">2026-10-09T03:20:55Z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